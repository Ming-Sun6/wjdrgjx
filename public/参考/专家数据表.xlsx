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7"/>
  </bookViews>
  <sheets>
    <sheet name="巴尔德" sheetId="1" r:id="rId1"/>
    <sheet name="法比安" sheetId="2" r:id="rId2"/>
    <sheet name="西里尔" sheetId="3" r:id="rId3"/>
    <sheet name="艾     格     尼     丝" sheetId="4" r:id="rId4"/>
    <sheet name="霍     尔      格" sheetId="5" r:id="rId5"/>
    <sheet name="罗     慕    路     斯" sheetId="6" r:id="rId6"/>
    <sheet name="瓦     莱    莉     亚" sheetId="7" r:id="rId7"/>
    <sheet name="罗       妮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<sst xmlns="http://schemas.openxmlformats.org/spreadsheetml/2006/main" count="1192" uniqueCount="453">
  <si>
    <t>制作：甜甜</t>
  </si>
  <si>
    <t>巴     尔      德</t>
  </si>
  <si>
    <t>等级</t>
  </si>
  <si>
    <t>好感度要求</t>
  </si>
  <si>
    <t>累计好感度</t>
  </si>
  <si>
    <t>部队攻击力
部队防御力</t>
  </si>
  <si>
    <t>专家印记</t>
  </si>
  <si>
    <t>关系进阶</t>
  </si>
  <si>
    <t>名称</t>
  </si>
  <si>
    <t>技能等级</t>
  </si>
  <si>
    <t>学识之书</t>
  </si>
  <si>
    <t>学习经验</t>
  </si>
  <si>
    <t>升级条件</t>
  </si>
  <si>
    <t>累计消耗</t>
  </si>
  <si>
    <t>技能</t>
  </si>
  <si>
    <t>萍水相逢</t>
  </si>
  <si>
    <t>志趣相投Ⅱ</t>
  </si>
  <si>
    <t>曙色荣辉</t>
  </si>
  <si>
    <t>联盟总动员积分提升2%，里程碑增加1个挡位</t>
  </si>
  <si>
    <t>联盟总动员积分提升4%，里程碑增加1个挡位</t>
  </si>
  <si>
    <t>联盟总动员积分提升6%，里程碑增加1个挡位</t>
  </si>
  <si>
    <t>联盟总动员积分提升8%，里程碑增加1个挡位</t>
  </si>
  <si>
    <t>专家关系泛泛之交Ⅲ</t>
  </si>
  <si>
    <t>联盟总动员积分提升10%，里程碑增加1个挡位</t>
  </si>
  <si>
    <t>联盟总动员积分提升12%，里程碑增加2个挡位</t>
  </si>
  <si>
    <t>联盟总动员积分提升14%，里程碑增加2个挡位</t>
  </si>
  <si>
    <t>专家关系志趣相投Ⅱ</t>
  </si>
  <si>
    <t>联盟总动员积分提升16%，里程碑增加2个挡位</t>
  </si>
  <si>
    <t>联盟总动员积分提升18%，里程碑增加2个挡位</t>
  </si>
  <si>
    <t>专家关系推心置腹Ⅰ</t>
  </si>
  <si>
    <t>联盟总动员积分提升20%，里程碑增加3个挡位</t>
  </si>
  <si>
    <t>进阶</t>
  </si>
  <si>
    <t>泛泛之交Ⅰ</t>
  </si>
  <si>
    <t>志趣相投Ⅲ</t>
  </si>
  <si>
    <t>战火与荣耀</t>
  </si>
  <si>
    <t>获取的争霸赛徽章数量提升5%，争霸赛商店商品数增加1</t>
  </si>
  <si>
    <t>获取的争霸赛徽章数量提升10%，争霸赛商店商品数增加1</t>
  </si>
  <si>
    <t>获取的争霸赛徽章数量提升15%，争霸赛商店商品数增加1</t>
  </si>
  <si>
    <t>获取的争霸赛徽章数量提升20%，争霸赛商店商品数增加1</t>
  </si>
  <si>
    <t>专家关系志趣相投Ⅰ</t>
  </si>
  <si>
    <t>获取的争霸赛徽章数量提升25%，争霸赛商店商品数增加1</t>
  </si>
  <si>
    <t>获取的争霸赛徽章数量提升30%，争霸赛商店商品数增加2</t>
  </si>
  <si>
    <t>获取的争霸赛徽章数量提升35%，争霸赛商店商品数增加2</t>
  </si>
  <si>
    <t>专家关系志趣相投Ⅲ</t>
  </si>
  <si>
    <t>获取的争霸赛徽章数量提升40%，争霸赛商店商品数增加2</t>
  </si>
  <si>
    <t>获取的争霸赛徽章数量提升45%，争霸赛商店商品数增加2</t>
  </si>
  <si>
    <t>专家关系推心置腹Ⅱ</t>
  </si>
  <si>
    <t>获取的争霸赛徽章数量提升50%，争霸赛商店商品数增加3</t>
  </si>
  <si>
    <t>泛泛之交Ⅱ</t>
  </si>
  <si>
    <t>推心置腹Ⅰ</t>
  </si>
  <si>
    <t>万金悬赏</t>
  </si>
  <si>
    <t>疯狂的乔伊活动积分收益提升5%，每赢得20万分获得一个宝箱奖励，每期活动最多获得1个。</t>
  </si>
  <si>
    <t>疯狂的乔伊活动积分收益提升10%，每赢得20万分获得一个宝箱奖励，每期活动最多获得2个。</t>
  </si>
  <si>
    <t>疯狂的乔伊活动积分收益提升15%，每赢得20万分获得一个宝箱奖励，每期活动最多获得3个。</t>
  </si>
  <si>
    <t>疯狂的乔伊活动积分收益提升20%，每赢得20万分获得一个宝箱奖励，每期活动最多获得4个。</t>
  </si>
  <si>
    <t>专家技能总等级14</t>
  </si>
  <si>
    <t>疯狂的乔伊活动积分收益提升25%，每赢得20万分获得一个宝箱奖励，每期活动最多获得5个。</t>
  </si>
  <si>
    <t>疯狂的乔伊活动积分收益提升30%，每赢得20万分获得一个宝箱奖励，每期活动最多获得6个。</t>
  </si>
  <si>
    <t>疯狂的乔伊活动积分收益提升35%，每赢得20万分获得一个宝箱奖励，每期活动最多获得7个。</t>
  </si>
  <si>
    <t>专家技能总等级20</t>
  </si>
  <si>
    <t>疯狂的乔伊活动积分收益提升40%，每赢得20万分获得一个宝箱奖励，每期活动最多获得8个。</t>
  </si>
  <si>
    <t>疯狂的乔伊活动积分收益提升45%，每赢得20万分获得一个宝箱奖励，每期活动最多获得9个。</t>
  </si>
  <si>
    <t>专家技能总等级28</t>
  </si>
  <si>
    <t>疯狂的乔伊活动积分收益提升50%，每赢得20万分获得一个宝箱奖励，每期活动最多获得10个。</t>
  </si>
  <si>
    <t>泛泛之交Ⅲ</t>
  </si>
  <si>
    <t>推心置腹Ⅱ</t>
  </si>
  <si>
    <t>曙光战歌</t>
  </si>
  <si>
    <t>联盟大作战中获得的积分提升5%(不包含雪原商路)，此外每日进度奖励也将增加1个挡位</t>
  </si>
  <si>
    <t>联盟大作战中获得的积分提升10%(不包含雪原商路)，此外每日进度奖励也将增加1个挡位</t>
  </si>
  <si>
    <t>联盟大作战中获得的积分提升15%(不包含雪原商路)，此外每日进度奖励也将增加1个挡位</t>
  </si>
  <si>
    <t>联盟大作战中获得的积分提升20%(不包含雪原商路)，此外每日进度奖励也将增加1个挡位</t>
  </si>
  <si>
    <t>专家技能总等级22</t>
  </si>
  <si>
    <t>联盟大作战中获得的积分提升25%(不包含雪原商路)，此外每日进度奖励也将增加1个挡位</t>
  </si>
  <si>
    <t>联盟大作战中获得的积分提升30%(不包含雪原商路)，此外每日进度奖励也将增加2个挡位</t>
  </si>
  <si>
    <t>联盟大作战中获得的积分提升35%(不包含雪原商路)，此外每日进度奖励也将增加2个挡位</t>
  </si>
  <si>
    <t>专家技能总等级30</t>
  </si>
  <si>
    <t>联盟大作战中获得的积分提升40%(不包含雪原商路)，此外每日进度奖励也将增加2个挡位</t>
  </si>
  <si>
    <t>联盟大作战中获得的积分提升45%(不包含雪原商路)，此外每日进度奖励也将增加2个挡位</t>
  </si>
  <si>
    <t>专家技能总等级39</t>
  </si>
  <si>
    <t>联盟大作战中获得的积分提升50%(不包含雪原商路)，此外每日进度奖励也将增加3个挡位</t>
  </si>
  <si>
    <t>志趣相投Ⅰ</t>
  </si>
  <si>
    <t>推心置腹Ⅲ</t>
  </si>
  <si>
    <t>天赋等级提升</t>
  </si>
  <si>
    <t>谈判大师</t>
  </si>
  <si>
    <t>使联盟商店购买商品的价格降低5%，此外个人活跃激励宝箱的奖励也将提升20%</t>
  </si>
  <si>
    <t>使联盟商店购买商品的价格降低5%，此外个人活跃激励宝箱的奖励也将提升28%</t>
  </si>
  <si>
    <t>使联盟商店购买商品的价格降低5%，此外个人活跃激励宝箱的奖励也将提升36%</t>
  </si>
  <si>
    <t>使联盟商店购买商品的价格降低5%，此外个人活跃激励宝箱的奖励也将提升44%</t>
  </si>
  <si>
    <t>使联盟商店购买商品的价格降低5%，此外个人活跃激励宝箱的奖励也将提升52%</t>
  </si>
  <si>
    <t>使联盟商店购买商品的价格降低10%，此外个人活跃激励宝箱的奖励也将提升60%</t>
  </si>
  <si>
    <t>使联盟商店购买商品的价格降低10%，此外个人活跃激励宝箱的奖励也将提升68%</t>
  </si>
  <si>
    <t>使联盟商店购买商品的价格降低10%，此外个人活跃激励宝箱的奖励也将提升76%</t>
  </si>
  <si>
    <t>使联盟商店购买商品的价格降低10%，此外个人活跃激励宝箱的奖励也将提升84%</t>
  </si>
  <si>
    <t>使联盟商店购买商品的价格降低10%，此外个人活跃激励宝箱的奖励也将提升92%</t>
  </si>
  <si>
    <t>莫逆于心</t>
  </si>
  <si>
    <t>使联盟商店购买商品的价格降低15%，此外个人活跃激励宝箱的奖励也将提升100%</t>
  </si>
  <si>
    <t>合计</t>
  </si>
  <si>
    <t>好感度</t>
  </si>
  <si>
    <t>法      比      安</t>
  </si>
  <si>
    <t>法     比     安</t>
  </si>
  <si>
    <t>部队穿透力
部队生命力</t>
  </si>
  <si>
    <t>回收熔铸</t>
  </si>
  <si>
    <t>使军工币获得量提升10%</t>
  </si>
  <si>
    <t>使军工币获得量提升20%</t>
  </si>
  <si>
    <t>使军工币获得量提升30%</t>
  </si>
  <si>
    <t>使军工币获得量提升40%</t>
  </si>
  <si>
    <t>使军工币获得量提升50%</t>
  </si>
  <si>
    <t>使军工币获得量提升60%</t>
  </si>
  <si>
    <t>使军工币获得量提升70%</t>
  </si>
  <si>
    <t>使军工币获得量提升80%</t>
  </si>
  <si>
    <t>使军工币获得量提升90%</t>
  </si>
  <si>
    <t>使军工币获得量提升100%</t>
  </si>
  <si>
    <t>绝境救援</t>
  </si>
  <si>
    <t>在每场兵工厂争夺战和雪域战火中可立即免费治疗士兵100000</t>
  </si>
  <si>
    <t>在每场兵工厂争夺战和雪域战火中可立即免费治疗士兵200000</t>
  </si>
  <si>
    <t>在每场兵工厂争夺战和雪域战火中可立即免费治疗士兵300000</t>
  </si>
  <si>
    <t>在每场兵工厂争夺战和雪域战火中可立即免费治疗士兵400000</t>
  </si>
  <si>
    <t>在每场兵工厂争夺战和雪域战火中可立即免费治疗士兵500000</t>
  </si>
  <si>
    <t>在每场兵工厂争夺战和雪域战火中可立即免费治疗士兵600000</t>
  </si>
  <si>
    <t>在每场兵工厂争夺战和雪域战火中可立即免费治疗士兵700000</t>
  </si>
  <si>
    <t>在每场兵工厂争夺战和雪域战火中可立即免费治疗士兵800000</t>
  </si>
  <si>
    <t>在每场兵工厂争夺战和雪域战火中可立即治免费疗士兵900000</t>
  </si>
  <si>
    <t>在每场兵工厂争夺战和雪域战火中可立即免费治疗士兵1000000</t>
  </si>
  <si>
    <t>烈火武装</t>
  </si>
  <si>
    <t>使参与兵工厂争夺战和雪域战火的部队穿透力+1.5%，生命值+1.5%</t>
  </si>
  <si>
    <t>使参与兵工厂争夺战和雪域战火的部队穿透力+3.0%，生命值+3.0%</t>
  </si>
  <si>
    <t>使参与兵工厂争夺战和雪域战火的部队穿透力+4.5%，生命值+4.5%</t>
  </si>
  <si>
    <t>使参与兵工厂争夺战和雪域战火的部队穿透力+6.0%，生命值+6.0%</t>
  </si>
  <si>
    <t>使参与兵工厂争夺战和雪域战火的部队穿透力+7.5%，生命值+7.5%</t>
  </si>
  <si>
    <t>专家技能总等级16</t>
  </si>
  <si>
    <t>使参与兵工厂争夺战和雪域战火的部队穿透力+9.0%，生命值+9.0%</t>
  </si>
  <si>
    <t>使参与兵工厂争夺战和雪域战火的部队穿透力+10.5%，生命值+10.5%</t>
  </si>
  <si>
    <t>使参与兵工厂争夺战和雪域战火的部队穿透力+12.0%，生命值+12.0%</t>
  </si>
  <si>
    <t>使参与兵工厂争夺战和雪域战火的部队穿透力+13.5%，生命值+13.5%</t>
  </si>
  <si>
    <t>使参与兵工厂争夺战和雪域战火的部队穿透力+15.0%，生命值+15.0%</t>
  </si>
  <si>
    <t>专家技能总等级24</t>
  </si>
  <si>
    <t>使参与兵工厂争夺战和雪域战火的部队穿透力+16.5%，生命值+16.5%</t>
  </si>
  <si>
    <t>使参与兵工厂争夺战和雪域战火的部队穿透力+18.0%，生命值+18.0%</t>
  </si>
  <si>
    <t>使参与兵工厂争夺战和雪域战火的部队穿透力+19.5%，生命值+19.5%</t>
  </si>
  <si>
    <t>使参与兵工厂争夺战和雪域战火的部队穿透力+21.0%，生命值+21.0%</t>
  </si>
  <si>
    <t>使参与兵工厂争夺战和雪域战火的部队穿透力+22.5%，生命值+22.5%</t>
  </si>
  <si>
    <t>专家技能总等级32</t>
  </si>
  <si>
    <t>使参与兵工厂争夺战和雪域战火的部队穿透力+24.0%，生命值+24.0%</t>
  </si>
  <si>
    <t>使参与兵工厂争夺战和雪域战火的部队穿透力+25.5%，生命值+25.5%</t>
  </si>
  <si>
    <t>使参与兵工厂争夺战和雪域战火的部队穿透力+27.0%，生命值+27.0%</t>
  </si>
  <si>
    <t>使参与兵工厂争夺战和雪域战火的部队穿透力+28.5%，生命值+28.5%</t>
  </si>
  <si>
    <t>专家技能总等级40</t>
  </si>
  <si>
    <t>使参与兵工厂争夺战和雪域战火的部队穿透力+30.0%，生命值+30.0%</t>
  </si>
  <si>
    <t>军工巨臂</t>
  </si>
  <si>
    <t>兵工厂争夺战和雪域战火中，集结容量提高7500</t>
  </si>
  <si>
    <t>兵工厂争夺战和雪域战火中，集结容量提高15000</t>
  </si>
  <si>
    <t>兵工厂争夺战和雪域战火中，集结容量提高22500</t>
  </si>
  <si>
    <t>兵工厂争夺战和雪域战火中，集结容量提高30000</t>
  </si>
  <si>
    <t>兵工厂争夺战和雪域战火中，集结容量提高37500</t>
  </si>
  <si>
    <t>兵工厂争夺战和雪域战火中，集结容量提高45000</t>
  </si>
  <si>
    <t>兵工厂争夺战和雪域战火中，集结容量提高52500</t>
  </si>
  <si>
    <t>兵工厂争夺战和雪域战火中，集结容量提高60000</t>
  </si>
  <si>
    <t>兵工厂争夺战和雪域战火中，集结容量提高67500</t>
  </si>
  <si>
    <t>兵工厂争夺战和雪域战火中，集结容量提高75000</t>
  </si>
  <si>
    <t>专家技能总等级36</t>
  </si>
  <si>
    <t>兵工厂争夺战和雪域战火中，集结容量提高82500</t>
  </si>
  <si>
    <t>兵工厂争夺战和雪域战火中，集结容量提高90000</t>
  </si>
  <si>
    <t>兵工厂争夺战和雪域战火中，集结容量提高97500</t>
  </si>
  <si>
    <t>兵工厂争夺战和雪域战火中，集结容量提高10500</t>
  </si>
  <si>
    <t>兵工厂争夺战和雪域战火中，集结容量提高112500</t>
  </si>
  <si>
    <t>专家技能总等级48</t>
  </si>
  <si>
    <t>兵工厂争夺战和雪域战火中，集结容量提高120000</t>
  </si>
  <si>
    <t>兵工厂争夺战和雪域战火中，集结容量提高127500</t>
  </si>
  <si>
    <t>兵工厂争夺战和雪域战火中，集结容量提高135000</t>
  </si>
  <si>
    <t>兵工厂争夺战和雪域战火中，集结容量提高142500</t>
  </si>
  <si>
    <t>专家技能总等级59</t>
  </si>
  <si>
    <t>兵工厂争夺战和雪域战火中，集结容量提高150000</t>
  </si>
  <si>
    <t>专家等级</t>
  </si>
  <si>
    <t>战争工匠</t>
  </si>
  <si>
    <t>部队攻击力+2.0%，部队防御力+2.0%</t>
  </si>
  <si>
    <t>部队攻击力+4.0%，部队防御力+4.0%</t>
  </si>
  <si>
    <t>部队攻击力+6.0%，部队防御力+6.0%</t>
  </si>
  <si>
    <t>部队攻击力9.0%，部队防御力+9.0%</t>
  </si>
  <si>
    <t>部队攻击力+12.0%，部队防御力+12.0%</t>
  </si>
  <si>
    <t>部队攻击力+15.0%，部队防御力+15.0%</t>
  </si>
  <si>
    <t>部队攻击力+18.0%，部队防御力+18.0%</t>
  </si>
  <si>
    <t>部队攻击力+21.0%，部队防御力+21.0%</t>
  </si>
  <si>
    <t>部队攻击力+24.0%，部队防御力+24.0%</t>
  </si>
  <si>
    <t>部队攻击力+27.0%，部队防御力+27.0%</t>
  </si>
  <si>
    <t>部队攻击力+30.0%，部队防御力+30.0%</t>
  </si>
  <si>
    <t>西     里      尔</t>
  </si>
  <si>
    <t>部队攻击力</t>
  </si>
  <si>
    <t>四方围猎</t>
  </si>
  <si>
    <t>使发起巨熊行动的集结容量上限+30000</t>
  </si>
  <si>
    <t>使发起巨熊行动的集结容量上限+60000</t>
  </si>
  <si>
    <t>使发起巨熊行动的集结容量上限+90000</t>
  </si>
  <si>
    <t>使发起巨熊行动的集结容量上限+120000</t>
  </si>
  <si>
    <t>使发起巨熊行动的集结容量上限+150000</t>
  </si>
  <si>
    <t>使发起巨熊行动的集结容量上限+180000</t>
  </si>
  <si>
    <t>使发起巨熊行动的集结容量上限+210000</t>
  </si>
  <si>
    <t>使发起巨熊行动的集结容量上限+240000</t>
  </si>
  <si>
    <t>使发起巨熊行动的集结容量上限+270000</t>
  </si>
  <si>
    <t>使发起巨熊行动的集结容量上限+300000</t>
  </si>
  <si>
    <t>回收利用</t>
  </si>
  <si>
    <t>可额外获得1个100点强化经验</t>
  </si>
  <si>
    <t>可额外获得2个100点强化经验</t>
  </si>
  <si>
    <t>可额外获得3个100点强化经验</t>
  </si>
  <si>
    <t>可额外获得4个100点强化经验</t>
  </si>
  <si>
    <t>可额外获得5个100点强化经验</t>
  </si>
  <si>
    <t>每期巨熊行动可额外获得1个专精能源石</t>
  </si>
  <si>
    <t>每期巨熊行动可额外获得2个专精能源石</t>
  </si>
  <si>
    <t>每期巨熊行动可额外获得3个专精能源石</t>
  </si>
  <si>
    <t>每期巨熊行动可额外获得4个专精能源石</t>
  </si>
  <si>
    <t>每期巨熊行动可额外获得5个专精能源石</t>
  </si>
  <si>
    <t>巨熊克星</t>
  </si>
  <si>
    <t>使参与巨熊行动时的出征容量上限提升3000</t>
  </si>
  <si>
    <t>使参与巨熊行动时的出征容量上限提升6000</t>
  </si>
  <si>
    <t>使参与巨熊行动时的出征容量上限提升9000</t>
  </si>
  <si>
    <t>使参与巨熊行动时的出征容量上限提升12000</t>
  </si>
  <si>
    <t>使参与巨熊行动时的出征容量上限提升15000</t>
  </si>
  <si>
    <t>使参与巨熊行动时的出征容量上限提升18000</t>
  </si>
  <si>
    <t>使参与巨熊行动时的出征容量上限提升21000</t>
  </si>
  <si>
    <t>使参与巨熊行动时的出征容量上限提升24000</t>
  </si>
  <si>
    <t>使参与巨熊行动时的出征容量上限提升27000</t>
  </si>
  <si>
    <t>使参与巨熊行动时的出征容量上限提升30000</t>
  </si>
  <si>
    <t>使参与巨熊行动获得的伤害积分提升2%</t>
  </si>
  <si>
    <t>使参与巨熊行动获得的伤害积分提升4%</t>
  </si>
  <si>
    <t>使参与巨熊行动获得的伤害积分提升6%</t>
  </si>
  <si>
    <t>使参与巨熊行动获得的伤害积分提升9%</t>
  </si>
  <si>
    <t>使参与巨熊行动获得的伤害积分提升12%</t>
  </si>
  <si>
    <t>使参与巨熊行动获得的伤害积分提升15%</t>
  </si>
  <si>
    <t>使参与巨熊行动获得的伤害积分提升18%</t>
  </si>
  <si>
    <t>使参与巨熊行动获得的伤害积分提升21%</t>
  </si>
  <si>
    <t>使参与巨熊行动获得的伤害积分提升24%</t>
  </si>
  <si>
    <t>使参与巨熊行动获得的伤害积分提升27%</t>
  </si>
  <si>
    <t>使参与巨熊行动获得的伤害积分提升30%</t>
  </si>
  <si>
    <t>艾     格     尼     丝</t>
  </si>
  <si>
    <t>部队防御力</t>
  </si>
  <si>
    <t>高效侦察</t>
  </si>
  <si>
    <t>每日能额外发现2个情报事件</t>
  </si>
  <si>
    <t>每日能额外发现3个情报事件</t>
  </si>
  <si>
    <t>每日能额外发现4个情报事件</t>
  </si>
  <si>
    <t>每日能额外发现6个情报事件</t>
  </si>
  <si>
    <t>每日能额外发现8个情报事件</t>
  </si>
  <si>
    <t>产能升级</t>
  </si>
  <si>
    <t>使仓库每次产出的领主体力提升10</t>
  </si>
  <si>
    <t>使仓库每次产出的领主体力提升15</t>
  </si>
  <si>
    <t>使仓库每次产出的领主体力提升20</t>
  </si>
  <si>
    <t>使仓库每次产出的领主体力提升30</t>
  </si>
  <si>
    <t>使仓库每次产出的领主体力提升40</t>
  </si>
  <si>
    <t>工程管理</t>
  </si>
  <si>
    <t>使每次建造时间缩短2小时</t>
  </si>
  <si>
    <t>使每次建造时间缩短3小时</t>
  </si>
  <si>
    <t>使每次建造时间缩短4小时</t>
  </si>
  <si>
    <t>使每次建造时间缩短6小时</t>
  </si>
  <si>
    <t>使每次建造时间缩短8小时</t>
  </si>
  <si>
    <t>隐秘知识</t>
  </si>
  <si>
    <t>完成最后一个每日任务后开启宝箱可额外获得20枚神秘徽章，神秘商店的免费刷新次数增加1次</t>
  </si>
  <si>
    <t>完成最后一个每日任务后开启宝箱可额外获得30枚神秘徽章，神秘商店的免费刷新次数增加1次</t>
  </si>
  <si>
    <t>完成最后一个每日任务后开启宝箱可额外获得40枚神秘徽章，神秘商店的免费刷新次数增加1次</t>
  </si>
  <si>
    <t>完成最后一个每日任务后开启宝箱可额外获得50枚神秘徽章，神秘商店的免费刷新次数增加2次</t>
  </si>
  <si>
    <t>完成最后一个每日任务后开启宝箱可额外获得60枚神秘徽章，神秘商店的免费刷新次数增加2次</t>
  </si>
  <si>
    <t>完成最后一个每日任务后开启宝箱可额外获得70枚神秘徽章，神秘商店的免费刷新次数增加2次</t>
  </si>
  <si>
    <t>完成最后一个每日任务后开启宝箱可额外获得80枚神秘徽章，神秘商店的免费刷新次数增加3次</t>
  </si>
  <si>
    <t>完成最后一个每日任务后开启宝箱可额外获得90枚神秘徽章，神秘商店的免费刷新次数增加3次</t>
  </si>
  <si>
    <t>完成最后一个每日任务后开启宝箱可额外获得100枚神秘徽章，神秘商店的免费刷新次数增加3次</t>
  </si>
  <si>
    <t>完成最后一个每日任务后开启宝箱可额外获得120枚神秘徽章，神秘商店的免费刷新次数增加4次</t>
  </si>
  <si>
    <t>钻探先锋</t>
  </si>
  <si>
    <t>每采集120分钟，可获得1个探寻者宝箱，每天最多可获得10个</t>
  </si>
  <si>
    <t>每采集120分钟，可获得1个探寻者宝箱，每天最多可获得12个</t>
  </si>
  <si>
    <t>每采集120分钟，可获得1个探寻者宝箱，每天最多可获得14个</t>
  </si>
  <si>
    <t>每采集120分钟，可获得2个探寻者宝箱，每天最多可获得16个</t>
  </si>
  <si>
    <t>每采集120分钟，可获得2个探寻者宝箱，每天最多可获得18个</t>
  </si>
  <si>
    <t>每采集120分钟，可获得3个探寻者宝箱，每天最多可获得20个</t>
  </si>
  <si>
    <t>每采集120分钟，可获得3个探寻者宝箱，每天最多可获得22个</t>
  </si>
  <si>
    <t>每采集120分钟，可获得4个探寻者宝箱，每天最多可获得24个</t>
  </si>
  <si>
    <t>每采集120分钟，可获得4个探寻者宝箱，每天最多可获得26个</t>
  </si>
  <si>
    <t>每采集120分钟，可获得5个探寻者宝箱，每天最多可获得28个</t>
  </si>
  <si>
    <t>每采集120分钟，可获得5个探寻者宝箱，每天最多可获得30个</t>
  </si>
  <si>
    <t>霍     尔      格</t>
  </si>
  <si>
    <t>角斗精英</t>
  </si>
  <si>
    <t>在竞技场战斗时攻击力和生命值+2%</t>
  </si>
  <si>
    <t>在竞技场战斗时攻击力和生命值+4%</t>
  </si>
  <si>
    <t>在竞技场战斗时攻击力和生命值+6%</t>
  </si>
  <si>
    <t>在竞技场战斗时攻击力和生命值+8%</t>
  </si>
  <si>
    <t>在竞技场战斗时攻击力和生命值+10%</t>
  </si>
  <si>
    <t>在竞技场战斗时攻击力和生命值+12%</t>
  </si>
  <si>
    <t>在竞技场战斗时攻击力和生命值+14%</t>
  </si>
  <si>
    <t>在竞技场战斗时攻击力和生命值+16%</t>
  </si>
  <si>
    <t>在竞技场战斗时攻击力和生命值+18%</t>
  </si>
  <si>
    <t>在竞技场战斗时攻击力和生命值+20%</t>
  </si>
  <si>
    <t>闪耀擂台</t>
  </si>
  <si>
    <t>每日结算和每周结算都将额外获得5%的竞技币</t>
  </si>
  <si>
    <t>每日结算和每周结算都将额外获得10%的竞技币</t>
  </si>
  <si>
    <t>每日结算和每周结算都将额外获得15%的竞技币</t>
  </si>
  <si>
    <t>每日结算和每周结算都将额外获得20%的竞技币</t>
  </si>
  <si>
    <t>每日结算和每周结算都将额外获得25%的竞技币</t>
  </si>
  <si>
    <t>每日结算和每周结算都将额外获得30%的竞技币</t>
  </si>
  <si>
    <t>每日结算和每周结算都将额外获得35%的竞技币</t>
  </si>
  <si>
    <t>每日结算和每周结算都将额外获得40%的竞技币</t>
  </si>
  <si>
    <t>每日结算和每周结算都将额外获得45%的竞技币</t>
  </si>
  <si>
    <t>每日结算和每周结算都将额外获得50%的竞技币</t>
  </si>
  <si>
    <t>竞技场之星</t>
  </si>
  <si>
    <t>在竞技商店中有1个额外物品可供选购，这些商品的价格降低</t>
  </si>
  <si>
    <t>勇冠全场</t>
  </si>
  <si>
    <t>战刃之舞</t>
  </si>
  <si>
    <t>罗     慕    路     斯</t>
  </si>
  <si>
    <t>战火的呼唤</t>
  </si>
  <si>
    <t>最后的阵线</t>
  </si>
  <si>
    <t>埃厄忒斯之威</t>
  </si>
  <si>
    <t>万众齐心</t>
  </si>
  <si>
    <t>瓦     莱    莉     亚</t>
  </si>
  <si>
    <t>整备待战</t>
  </si>
  <si>
    <t>英雄等级10级</t>
  </si>
  <si>
    <t>使使最强王国的备战阶段积分获取提升2%，每日额外增加1份个人阶段积分奖励。</t>
  </si>
  <si>
    <t>使使最强王国的备战阶段积分获取提升4%，每日额外增加1份个人阶段积分奖励。</t>
  </si>
  <si>
    <t>使使最强王国的备战阶段积分获取提升6%，每日额外增加1份个人阶段积分奖励。</t>
  </si>
  <si>
    <t>使使最强王国的备战阶段积分获取提升8%，每日额外增加1份个人阶段积分奖励。</t>
  </si>
  <si>
    <t>使使最强王国的备战阶段积分获取提升10%，每日额外增加1份个人阶段积分奖励。</t>
  </si>
  <si>
    <t>使使最强王国的备战阶段积分获取提升12%，每日额外增加2份个人阶段积分奖励。</t>
  </si>
  <si>
    <t>使使最强王国的备战阶段积分获取提升14%，每日额外增加2份个人阶段积分奖励。</t>
  </si>
  <si>
    <t>使使最强王国的备战阶段积分获取提升16%，每日额外增加2份个人阶段积分奖励。</t>
  </si>
  <si>
    <t>使使最强王国的备战阶段积分获取提升18%，每日额外增加2份个人阶段积分奖励。</t>
  </si>
  <si>
    <t>使使最强王国的备战阶段积分获取提升20%，每日额外增加3份个人阶段积分奖励。</t>
  </si>
  <si>
    <t>烈日荣勋</t>
  </si>
  <si>
    <t>英雄等级20级</t>
  </si>
  <si>
    <t>领取勋章奖励时可额外获得5个太阳币，此外最强王国商店也将额外增加1个商品。</t>
  </si>
  <si>
    <t>领取勋章奖励时可额外获得10个太阳币，此外最强王国商店也将额外增加1个商品。</t>
  </si>
  <si>
    <t>领取勋章奖励时可额外获得15个太阳币，此外最强王国商店也将额外增加1个商品。</t>
  </si>
  <si>
    <t>领取勋章奖励时可额外获得20个太阳币，此外最强王国商店也将额外增加1个商品。</t>
  </si>
  <si>
    <t>领取勋章奖励时可额外获得25个太阳币，此外最强王国商店也将额外增加1个商品。</t>
  </si>
  <si>
    <t>领取勋章奖励时可额外获得30个太阳币，此外最强王国商店也将额外增加2个商品。</t>
  </si>
  <si>
    <t>领取勋章奖励时可额外获得35个太阳币，此外最强王国商店也将额外增加2个商品。</t>
  </si>
  <si>
    <t>领取勋章奖励时可额外获得40个太阳币，此外最强王国商店也将额外增加2个商品。</t>
  </si>
  <si>
    <t>领取勋章奖励时可额外获得45个太阳币，此外最强王国商店也将额外增加2个商品。</t>
  </si>
  <si>
    <t>领取勋章奖励时可额外获得50个太阳币，此外最强王国商店也将额外增加3个商品。</t>
  </si>
  <si>
    <t>战场协奏曲</t>
  </si>
  <si>
    <t>英雄等级30级</t>
  </si>
  <si>
    <t>使我军全体部队在最强王国的战争阶段中的穿透力和生命力+1.5%</t>
  </si>
  <si>
    <t>使我军全体部队在最强王国的战争阶段中的穿透力和生命力+3%</t>
  </si>
  <si>
    <t>使我军全体部队在最强王国的战争阶段中的穿透力和生命力+4.5%</t>
  </si>
  <si>
    <t>使我军全体部队在最强王国的战争阶段中的穿透力和生命力+6%</t>
  </si>
  <si>
    <t>使我军全体部队在最强王国的战争阶段中的穿透力和生命力+7.5%</t>
  </si>
  <si>
    <t>专家技能总等级16级</t>
  </si>
  <si>
    <t>使我军全体部队在最强王国的战争阶段中的穿透力和生命力力+9%</t>
  </si>
  <si>
    <t>使我军全体部队在最强王国的战争阶段中的穿透力和生命力+10.5%</t>
  </si>
  <si>
    <t>使我军全体部队在最强王国的战争阶段中的穿透力和生命力+12%</t>
  </si>
  <si>
    <t>使我军全体部队在最强王国的战争阶段中的穿透力和生命力+13.5%</t>
  </si>
  <si>
    <t>使我军全体部队在最强王国的战争阶段中的穿透力和生命力+15%</t>
  </si>
  <si>
    <t>专家技能总等级24级</t>
  </si>
  <si>
    <t>使我军全体部队在最强王国的战争阶段中的穿透力和生命力+16.5%</t>
  </si>
  <si>
    <t>使我军全体部队在最强王国的战争阶段中的穿透力和生命力+18%</t>
  </si>
  <si>
    <t>使我军全体部队在最强王国的战争阶段中的穿透力和生命力+19.5%</t>
  </si>
  <si>
    <t>使我军全体部队在最强王国的战争阶段中的穿透力和生命力+21%</t>
  </si>
  <si>
    <t>使我军全体部队在最强王国的战争阶段中的穿透力和生命力+22.5%</t>
  </si>
  <si>
    <t>专家技能总等级32级</t>
  </si>
  <si>
    <t>使我军全体部队在最强王国的战争阶段中的穿透力和生命力+24%</t>
  </si>
  <si>
    <t>使我军全体部队在最强王国的战争阶段中的穿透力和生命力+25.5%</t>
  </si>
  <si>
    <t>使我军全体部队在最强王国的战争阶段中的穿透力和生命力+27%</t>
  </si>
  <si>
    <t>使我军全体部队在最强王国的战争阶段中的穿透力和生命力+28.5%</t>
  </si>
  <si>
    <t>专家技能总等级40级</t>
  </si>
  <si>
    <t>使我军全体部队在最强王国的战争阶段中的穿透力和生命力+30%</t>
  </si>
  <si>
    <t>万钧之势</t>
  </si>
  <si>
    <t>英雄等级40级</t>
  </si>
  <si>
    <t>使我军全体部队在最强王国的战争阶段中，集结容量上限提升7500</t>
  </si>
  <si>
    <t>使我军全体部队在最强王国的战争阶段中，集结容量上限提升15000</t>
  </si>
  <si>
    <t>使我军全体部队在最强王国的战争阶段中，集结容量上限提升22500</t>
  </si>
  <si>
    <t>使我军全体部队在最强王国的战争阶段中，集结容量上限提升30000</t>
  </si>
  <si>
    <t>使我军全体部队在最强王国的战争阶段中，集结容量上限提升37500</t>
  </si>
  <si>
    <t>使我军全体部队在最强王国的战争阶段中，集结容量上限提升45000</t>
  </si>
  <si>
    <t>使我军全体部队在最强王国的战争阶段中，集结容量上限提升52500</t>
  </si>
  <si>
    <t>使我军全体部队在最强王国的战争阶段中，集结容量上限提升60000</t>
  </si>
  <si>
    <t>使我军全体部队在最强王国的战争阶段中，集结容量上限提升67500</t>
  </si>
  <si>
    <t>使我军全体部队在最强王国的战争阶段中，集结容量上限提升75000</t>
  </si>
  <si>
    <t>专家技能总等级36级</t>
  </si>
  <si>
    <t>使我军全体部队在最强王国的战争阶段中，集结容量上限提升82500</t>
  </si>
  <si>
    <t>使我军全体部队在最强王国的战争阶段中，集结容量上限提升90000</t>
  </si>
  <si>
    <t>使我军全体部队在最强王国的战争阶段中，集结容量上限提升97500</t>
  </si>
  <si>
    <t>使我军全体部队在最强王国的战争阶段中，集结容量上限提升105000</t>
  </si>
  <si>
    <t>使我军全体部队在最强王国的战争阶段中，集结容量上限提升112500</t>
  </si>
  <si>
    <t>专家技能总等级48级</t>
  </si>
  <si>
    <t>使我军全体部队在最强王国的战争阶段中，集结容量上限提升120000</t>
  </si>
  <si>
    <t>使我军全体部队在最强王国的战争阶段中，集结容量上限提升127500</t>
  </si>
  <si>
    <t>使我军全体部队在最强王国的战争阶段中，集结容量上限提升135000</t>
  </si>
  <si>
    <t>使我军全体部队在最强王国的战争阶段中，集结容量上限提升142500</t>
  </si>
  <si>
    <t>专家技能总等级59级</t>
  </si>
  <si>
    <t>使我军全体部队在最强王国的战争阶段中，集结容量上限提升150000</t>
  </si>
  <si>
    <t>征服者之心</t>
  </si>
  <si>
    <t>使我军全体部队在最强王国的战争阶段中，部队攻击力+2.0%，部队防御力+2.0%</t>
  </si>
  <si>
    <t>使我军全体部队在最强王国的战争阶段中，部队攻击力+4.0%，部队防御力+4.0%</t>
  </si>
  <si>
    <t>使我军全体部队在最强王国的战争阶段中，部队攻击力+6.0%，部队防御力+6.0%</t>
  </si>
  <si>
    <t>使我军全体部队在最强王国的战争阶段中，部队攻击力+9.0%，部队防御力+9.0%</t>
  </si>
  <si>
    <t>使我军全体部队在最强王国的战争阶段中，部队攻击力+12.0%，部队防御力+12.0%</t>
  </si>
  <si>
    <t>使我军全体部队在最强王国的战争阶段中，部队攻击力+15.0%，部队防御力+15.0%</t>
  </si>
  <si>
    <t>使我军全体部队在最强王国的战争阶段中，部队攻击力+18.0%，部队防御力+18.0%</t>
  </si>
  <si>
    <t>使我军全体部队在最强王国的战争阶段中，部队攻击力+21.0%，部队防御力+21.0%</t>
  </si>
  <si>
    <t>使我军全体部队在最强王国的战争阶段中，部队攻击力+24.0%，部队防御力+24.0%</t>
  </si>
  <si>
    <t>使我军全体部队在最强王国的战争阶段中，部队攻击力+27.0%，部队防御力+27.0%</t>
  </si>
  <si>
    <t>使我军全体部队在最强王国的战争阶段中，部队攻击力+30.0%，部队防御力+30.0%</t>
  </si>
  <si>
    <t>罗       妮</t>
  </si>
  <si>
    <t>罗        妮</t>
  </si>
  <si>
    <t>路线规划</t>
  </si>
  <si>
    <t>专家关系泛泛之交Ⅰ</t>
  </si>
  <si>
    <t>货车抵达终点时间缩短2%，获得额外1次免费刷新机会</t>
  </si>
  <si>
    <t>货车抵达终点时间缩短4%，获得额外1次免费刷新机会</t>
  </si>
  <si>
    <t>货车抵达终点时间缩短6%，获得额外1次免费刷新机会</t>
  </si>
  <si>
    <t>货车抵达终点时间缩短8%，获得额外1次免费刷新机会</t>
  </si>
  <si>
    <t>货车抵达终点时间缩短10%，获得额外1次免费刷新机会</t>
  </si>
  <si>
    <t>货车抵达终点时间缩短12%，获得额外2次免费刷新机会</t>
  </si>
  <si>
    <t>货车抵达终点时间缩短14%，获得额外2次免费刷新机会</t>
  </si>
  <si>
    <t>货车抵达终点时间缩短16%，获得额外2次免费刷新机会</t>
  </si>
  <si>
    <t>货车抵达终点时间缩短18%，获得额外2次免费刷新机会</t>
  </si>
  <si>
    <t>货车抵达终点时间缩短20%，获得额外3次免费刷新机会</t>
  </si>
  <si>
    <t>敏锐洞察</t>
  </si>
  <si>
    <t>专家关系泛泛之交Ⅱ</t>
  </si>
  <si>
    <t>掠夺货车成功后，有10%几率额外获得一件货物</t>
  </si>
  <si>
    <t>掠夺货车成功后，有20%几率额外获得一件货物</t>
  </si>
  <si>
    <t>掠夺货车成功后，有30%几率额外获得一件货物</t>
  </si>
  <si>
    <t>掠夺货车成功后，有40%几率额外获得一件货物</t>
  </si>
  <si>
    <t>掠夺货车成功后，有50%几率额外获得一件货物</t>
  </si>
  <si>
    <t>掠夺货车成功后，有60%几率额外获得一件货物</t>
  </si>
  <si>
    <t>掠夺货车成功后，有70%几率额外获得一件货物</t>
  </si>
  <si>
    <t>掠夺货车成功后，有80%几率额外获得一件货物</t>
  </si>
  <si>
    <t>掠夺货车成功后，有90%几率额外获得一件货物</t>
  </si>
  <si>
    <t>掠夺货车成功后，有100%几率额外获得一件货物</t>
  </si>
  <si>
    <t>迅猛反击</t>
  </si>
  <si>
    <t>有5%几率夺回1件货物。</t>
  </si>
  <si>
    <t>有10%几率夺回1件货物。</t>
  </si>
  <si>
    <t>有15%几率夺回1件货物。</t>
  </si>
  <si>
    <t>有20%几率夺回1件货物。</t>
  </si>
  <si>
    <t>有25%几率夺回1件货物。</t>
  </si>
  <si>
    <t>有30%几率夺回1件货物。(将额外护送“精英护卫宝箱”，该宝箱不会被掠夺。）</t>
  </si>
  <si>
    <t>有35%几率夺回1件货物。(将额外护送“精英护卫宝箱”，该宝箱不会被掠夺。）</t>
  </si>
  <si>
    <t>有40%几率夺回1件货物。(将额外护送“精英护卫宝箱”，该宝箱不会被掠夺。）</t>
  </si>
  <si>
    <t>有45%几率夺回1件货物。(将额外护送“精英护卫宝箱”，该宝箱不会被掠夺。）</t>
  </si>
  <si>
    <t>有50%几率夺回2件货物。(将额外护送“精英护卫宝箱”，该宝箱不会被掠夺。）</t>
  </si>
  <si>
    <t>金牌护卫</t>
  </si>
  <si>
    <t>每完成12次护送后，下次护送的货车必为“神话”品质，刷新时品质不会下降</t>
  </si>
  <si>
    <t>每完成11次护送后，下次护送的货车必为“神话”品质，刷新时品质不会下降</t>
  </si>
  <si>
    <t>每完成10次护送后，下次护送的货车必为“神话”品质，刷新时品质不会下降</t>
  </si>
  <si>
    <t>每完成9次护送后，下次护送的货车必为“神话”品质，刷新时品质不会下降</t>
  </si>
  <si>
    <t>每完成8次护送后，下次护送的货车必为“神话”品质，刷新时品质不会下降</t>
  </si>
  <si>
    <t>每完成7次护送后，下次护送的货车必为“神话”品质，刷新时品质不会下降</t>
  </si>
  <si>
    <t>每完成6次护送后，下次护送的货车必为“神话”品质，刷新时品质不会下降</t>
  </si>
  <si>
    <t>每完成5次护送后，下次护送的货车必为“神话”品质，刷新时品质不会下降</t>
  </si>
  <si>
    <t>每完成4次护送后，下次护送的货车必为“神话”品质，刷新时品质不会下降</t>
  </si>
  <si>
    <t>每完成4次护送后，下次护送的货车必为“神话”品质，刷新时品质不会下降，每日将额外护送1辆货车</t>
  </si>
  <si>
    <t>在雪原商路遭遇掠夺抑或主动攻击其他货车时，部队攻击力和防御力+2%</t>
  </si>
  <si>
    <t>在雪原商路遭遇掠夺抑或主动攻击其他货车时，部队攻击力和防御力+4%</t>
  </si>
  <si>
    <t>在雪原商路遭遇掠夺抑或主动攻击其他货车时，部队攻击力和防御力+6%</t>
  </si>
  <si>
    <t>在雪原商路遭遇掠夺抑或主动攻击其他货车时，部队攻击力和防御力+9%</t>
  </si>
  <si>
    <t>在雪原商路遭遇掠夺抑或主动攻击其他货车时，部队攻击力和防御力+12%</t>
  </si>
  <si>
    <t>在雪原商路遭遇掠夺抑或主动攻击其他货车时，部队攻击力和防御力+15%</t>
  </si>
  <si>
    <t>在雪原商路遭遇掠夺抑或主动攻击其他货车时，部队攻击力和防御力+18%</t>
  </si>
  <si>
    <t>在雪原商路遭遇掠夺抑或主动攻击其他货车时，部队攻击力和防御力+21%</t>
  </si>
  <si>
    <t>在雪原商路遭遇掠夺抑或主动攻击其他货车时，部队攻击力和防御力+24%</t>
  </si>
  <si>
    <t>在雪原商路遭遇掠夺抑或主动攻击其他货车时，部队攻击力和防御力+27%</t>
  </si>
  <si>
    <t>在雪原商路遭遇掠夺抑或主动攻击其他货车时，部队攻击力和防御力+30%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</si>
</sst>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4"/>
      <color rgb="FFFFFFFF"/>
      <name val="微软雅黑"/>
      <charset val="134"/>
    </font>
    <font>
      <b/>
      <sz val="26"/>
      <color rgb="FFFFFFFF"/>
      <name val="微软雅黑"/>
      <charset val="134"/>
    </font>
    <font>
      <sz val="11"/>
      <name val="微软雅黑"/>
      <charset val="134"/>
    </font>
    <font>
      <b/>
      <sz val="12"/>
      <color rgb="FFFFFFFF"/>
      <name val="微软雅黑"/>
      <charset val="134"/>
    </font>
    <font>
      <b/>
      <sz val="12"/>
      <name val="微软雅黑"/>
      <charset val="134"/>
    </font>
    <font>
      <b/>
      <sz val="11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微软雅黑"/>
      <charset val="134"/>
    </font>
    <font>
      <b/>
      <sz val="11"/>
      <color rgb="FFFFFFFF"/>
      <name val="微软雅黑"/>
      <charset val="134"/>
    </font>
    <font>
      <sz val="14"/>
      <name val="微软雅黑"/>
      <charset val="134"/>
    </font>
    <font>
      <b/>
      <sz val="12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9DC3E6"/>
        <bgColor indexed="64"/>
      </patternFill>
    </fill>
    <fill>
      <patternFill patternType="solid">
        <fgColor rgb="FFCF3A3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14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7" applyNumberFormat="0" applyAlignment="0" applyProtection="0">
      <alignment vertical="center"/>
    </xf>
    <xf numFmtId="0" fontId="21" fillId="9" borderId="18" applyNumberFormat="0" applyAlignment="0" applyProtection="0">
      <alignment vertical="center"/>
    </xf>
    <xf numFmtId="0" fontId="22" fillId="9" borderId="17" applyNumberFormat="0" applyAlignment="0" applyProtection="0">
      <alignment vertical="center"/>
    </xf>
    <xf numFmtId="0" fontId="23" fillId="10" borderId="19" applyNumberFormat="0" applyAlignment="0" applyProtection="0">
      <alignment vertical="center"/>
    </xf>
    <xf numFmtId="0" fontId="24" fillId="0" borderId="20" applyNumberFormat="0" applyFill="0" applyAlignment="0" applyProtection="0">
      <alignment vertical="center"/>
    </xf>
    <xf numFmtId="0" fontId="25" fillId="0" borderId="21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3" fontId="3" fillId="3" borderId="5" xfId="0" applyNumberFormat="1" applyFont="1" applyFill="1" applyBorder="1" applyAlignment="1">
      <alignment horizontal="center" vertical="center"/>
    </xf>
    <xf numFmtId="3" fontId="3" fillId="3" borderId="6" xfId="0" applyNumberFormat="1" applyFont="1" applyFill="1" applyBorder="1" applyAlignment="1">
      <alignment horizontal="center" vertical="center"/>
    </xf>
    <xf numFmtId="3" fontId="3" fillId="3" borderId="7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3" fontId="11" fillId="3" borderId="5" xfId="0" applyNumberFormat="1" applyFont="1" applyFill="1" applyBorder="1" applyAlignment="1">
      <alignment horizontal="center" vertical="center"/>
    </xf>
    <xf numFmtId="3" fontId="11" fillId="3" borderId="6" xfId="0" applyNumberFormat="1" applyFont="1" applyFill="1" applyBorder="1" applyAlignment="1">
      <alignment horizontal="center" vertical="center"/>
    </xf>
    <xf numFmtId="3" fontId="11" fillId="3" borderId="7" xfId="0" applyNumberFormat="1" applyFont="1" applyFill="1" applyBorder="1" applyAlignment="1">
      <alignment horizontal="center" vertical="center"/>
    </xf>
    <xf numFmtId="3" fontId="5" fillId="3" borderId="5" xfId="0" applyNumberFormat="1" applyFont="1" applyFill="1" applyBorder="1" applyAlignment="1">
      <alignment horizontal="center" vertical="center"/>
    </xf>
    <xf numFmtId="3" fontId="5" fillId="3" borderId="6" xfId="0" applyNumberFormat="1" applyFont="1" applyFill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3" fontId="5" fillId="3" borderId="7" xfId="0" applyNumberFormat="1" applyFont="1" applyFill="1" applyBorder="1" applyAlignment="1">
      <alignment horizontal="center" vertical="center"/>
    </xf>
    <xf numFmtId="3" fontId="6" fillId="3" borderId="1" xfId="0" applyNumberFormat="1" applyFont="1" applyFill="1" applyBorder="1" applyAlignment="1">
      <alignment horizontal="center" vertical="center"/>
    </xf>
    <xf numFmtId="10" fontId="6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/>
    </xf>
    <xf numFmtId="0" fontId="6" fillId="4" borderId="1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84"/>
  <sheetViews>
    <sheetView zoomScale="55" zoomScaleNormal="55" topLeftCell="A499" workbookViewId="0">
      <selection activeCell="A485" sqref="A485:V543"/>
    </sheetView>
  </sheetViews>
  <sheetFormatPr defaultColWidth="8.72727272727273" defaultRowHeight="14"/>
  <cols>
    <col min="1" max="1" width="6.09090909090909" customWidth="1"/>
    <col min="2" max="3" width="13" customWidth="1"/>
    <col min="4" max="4" width="9.18181818181818" customWidth="1"/>
    <col min="5" max="5" width="10.5454545454545" customWidth="1"/>
    <col min="6" max="6" width="12" customWidth="1"/>
    <col min="7" max="7" width="6.09090909090909" customWidth="1"/>
    <col min="8" max="9" width="13" customWidth="1"/>
    <col min="10" max="10" width="9.18181818181818" customWidth="1"/>
    <col min="11" max="11" width="10.5454545454545" customWidth="1"/>
    <col min="12" max="12" width="12" customWidth="1"/>
    <col min="19" max="19" width="14.4545454545455" customWidth="1"/>
    <col min="20" max="20" width="16.5181818181818" customWidth="1"/>
    <col min="21" max="21" width="20.8181818181818" customWidth="1"/>
    <col min="22" max="22" width="25.7818181818182" customWidth="1"/>
  </cols>
  <sheetData>
    <row r="1" ht="36.5" spans="1:22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1" t="s">
        <v>0</v>
      </c>
      <c r="O1" s="1"/>
      <c r="P1" s="2" t="s">
        <v>1</v>
      </c>
      <c r="Q1" s="2"/>
      <c r="R1" s="2"/>
      <c r="S1" s="2"/>
      <c r="T1" s="2"/>
      <c r="U1" s="2"/>
      <c r="V1" s="2"/>
    </row>
    <row r="2" ht="66" spans="1:22">
      <c r="A2" s="7" t="s">
        <v>2</v>
      </c>
      <c r="B2" s="7" t="s">
        <v>3</v>
      </c>
      <c r="C2" s="7" t="s">
        <v>4</v>
      </c>
      <c r="D2" s="8" t="s">
        <v>5</v>
      </c>
      <c r="E2" s="7" t="s">
        <v>6</v>
      </c>
      <c r="F2" s="7" t="s">
        <v>7</v>
      </c>
      <c r="G2" s="7" t="s">
        <v>2</v>
      </c>
      <c r="H2" s="7" t="s">
        <v>3</v>
      </c>
      <c r="I2" s="7" t="s">
        <v>4</v>
      </c>
      <c r="J2" s="8" t="s">
        <v>5</v>
      </c>
      <c r="K2" s="7" t="s">
        <v>6</v>
      </c>
      <c r="L2" s="7" t="s">
        <v>7</v>
      </c>
      <c r="M2" s="9"/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/>
      <c r="V2" s="7"/>
    </row>
    <row r="3" ht="16.5" spans="1:22">
      <c r="A3" s="10">
        <v>1</v>
      </c>
      <c r="B3" s="11">
        <v>1000</v>
      </c>
      <c r="C3" s="10"/>
      <c r="D3" s="12">
        <v>0.0105</v>
      </c>
      <c r="E3" s="10"/>
      <c r="F3" s="13" t="s">
        <v>15</v>
      </c>
      <c r="G3" s="10">
        <v>51</v>
      </c>
      <c r="H3" s="11">
        <v>3000</v>
      </c>
      <c r="I3" s="11">
        <f>H3+C56</f>
        <v>72880</v>
      </c>
      <c r="J3" s="12">
        <v>0.0555</v>
      </c>
      <c r="K3" s="10"/>
      <c r="L3" s="13" t="s">
        <v>16</v>
      </c>
      <c r="M3" s="3"/>
      <c r="N3" s="16" t="s">
        <v>17</v>
      </c>
      <c r="O3" s="13">
        <v>1</v>
      </c>
      <c r="P3" s="10"/>
      <c r="Q3" s="10"/>
      <c r="R3" s="10"/>
      <c r="S3" s="10" t="s">
        <v>10</v>
      </c>
      <c r="T3" s="10" t="s">
        <v>18</v>
      </c>
      <c r="U3" s="10"/>
      <c r="V3" s="10"/>
    </row>
    <row r="4" ht="16.5" spans="1:22">
      <c r="A4" s="10">
        <v>2</v>
      </c>
      <c r="B4" s="11">
        <v>400</v>
      </c>
      <c r="C4" s="11">
        <f>B3+B4</f>
        <v>1400</v>
      </c>
      <c r="D4" s="12">
        <v>0.011</v>
      </c>
      <c r="E4" s="10"/>
      <c r="F4" s="13"/>
      <c r="G4" s="11">
        <v>52</v>
      </c>
      <c r="H4" s="11">
        <v>3100</v>
      </c>
      <c r="I4" s="11">
        <f t="shared" ref="I4:I12" si="0">H4+I3</f>
        <v>75980</v>
      </c>
      <c r="J4" s="12">
        <v>0.056</v>
      </c>
      <c r="K4" s="10"/>
      <c r="L4" s="13"/>
      <c r="M4" s="3"/>
      <c r="N4" s="16"/>
      <c r="O4" s="13">
        <v>2</v>
      </c>
      <c r="P4" s="10">
        <v>300</v>
      </c>
      <c r="Q4" s="10">
        <v>25800</v>
      </c>
      <c r="R4" s="10"/>
      <c r="S4" s="10"/>
      <c r="T4" s="10" t="s">
        <v>19</v>
      </c>
      <c r="U4" s="10"/>
      <c r="V4" s="10"/>
    </row>
    <row r="5" ht="16.5" spans="1:22">
      <c r="A5" s="10">
        <v>3</v>
      </c>
      <c r="B5" s="11">
        <v>420</v>
      </c>
      <c r="C5" s="11">
        <f t="shared" ref="C5:C12" si="1">B5+C4</f>
        <v>1820</v>
      </c>
      <c r="D5" s="12">
        <v>0.0115</v>
      </c>
      <c r="E5" s="10"/>
      <c r="F5" s="13"/>
      <c r="G5" s="11">
        <v>53</v>
      </c>
      <c r="H5" s="11">
        <v>3200</v>
      </c>
      <c r="I5" s="11">
        <f t="shared" si="0"/>
        <v>79180</v>
      </c>
      <c r="J5" s="12">
        <v>0.0565</v>
      </c>
      <c r="K5" s="10"/>
      <c r="L5" s="13"/>
      <c r="M5" s="3"/>
      <c r="N5" s="16"/>
      <c r="O5" s="13">
        <v>3</v>
      </c>
      <c r="P5" s="10">
        <v>600</v>
      </c>
      <c r="Q5" s="10">
        <v>51600</v>
      </c>
      <c r="R5" s="10"/>
      <c r="S5" s="17">
        <f>SUM(P4:P12)</f>
        <v>13500</v>
      </c>
      <c r="T5" s="10" t="s">
        <v>20</v>
      </c>
      <c r="U5" s="10"/>
      <c r="V5" s="10"/>
    </row>
    <row r="6" ht="16.5" spans="1:22">
      <c r="A6" s="10">
        <v>4</v>
      </c>
      <c r="B6" s="11">
        <v>440</v>
      </c>
      <c r="C6" s="11">
        <f t="shared" si="1"/>
        <v>2260</v>
      </c>
      <c r="D6" s="12">
        <v>0.012</v>
      </c>
      <c r="E6" s="10"/>
      <c r="F6" s="13"/>
      <c r="G6" s="11">
        <v>54</v>
      </c>
      <c r="H6" s="11">
        <v>3300</v>
      </c>
      <c r="I6" s="11">
        <f t="shared" si="0"/>
        <v>82480</v>
      </c>
      <c r="J6" s="12">
        <v>0.057</v>
      </c>
      <c r="K6" s="10"/>
      <c r="L6" s="13"/>
      <c r="M6" s="3"/>
      <c r="N6" s="16"/>
      <c r="O6" s="13">
        <v>4</v>
      </c>
      <c r="P6" s="10">
        <v>900</v>
      </c>
      <c r="Q6" s="10">
        <v>77400</v>
      </c>
      <c r="R6" s="10"/>
      <c r="S6" s="18"/>
      <c r="T6" s="10" t="s">
        <v>21</v>
      </c>
      <c r="U6" s="10"/>
      <c r="V6" s="10"/>
    </row>
    <row r="7" ht="16.5" spans="1:22">
      <c r="A7" s="10">
        <v>5</v>
      </c>
      <c r="B7" s="11">
        <v>460</v>
      </c>
      <c r="C7" s="11">
        <f t="shared" si="1"/>
        <v>2720</v>
      </c>
      <c r="D7" s="12">
        <v>0.0125</v>
      </c>
      <c r="E7" s="10"/>
      <c r="F7" s="13"/>
      <c r="G7" s="11">
        <v>55</v>
      </c>
      <c r="H7" s="11">
        <v>3400</v>
      </c>
      <c r="I7" s="11">
        <f t="shared" si="0"/>
        <v>85880</v>
      </c>
      <c r="J7" s="12">
        <v>0.0575</v>
      </c>
      <c r="K7" s="10"/>
      <c r="L7" s="13"/>
      <c r="M7" s="3"/>
      <c r="N7" s="16"/>
      <c r="O7" s="13">
        <v>5</v>
      </c>
      <c r="P7" s="10">
        <v>1200</v>
      </c>
      <c r="Q7" s="10">
        <v>103200</v>
      </c>
      <c r="R7" s="10" t="s">
        <v>22</v>
      </c>
      <c r="S7" s="19"/>
      <c r="T7" s="10" t="s">
        <v>23</v>
      </c>
      <c r="U7" s="10"/>
      <c r="V7" s="10"/>
    </row>
    <row r="8" ht="16.5" spans="1:22">
      <c r="A8" s="10">
        <v>6</v>
      </c>
      <c r="B8" s="11">
        <v>480</v>
      </c>
      <c r="C8" s="11">
        <f t="shared" si="1"/>
        <v>3200</v>
      </c>
      <c r="D8" s="12">
        <v>0.013</v>
      </c>
      <c r="E8" s="10"/>
      <c r="F8" s="13"/>
      <c r="G8" s="11">
        <v>56</v>
      </c>
      <c r="H8" s="11">
        <v>3500</v>
      </c>
      <c r="I8" s="11">
        <f t="shared" si="0"/>
        <v>89380</v>
      </c>
      <c r="J8" s="12">
        <v>0.058</v>
      </c>
      <c r="K8" s="10"/>
      <c r="L8" s="13"/>
      <c r="M8" s="3"/>
      <c r="N8" s="16"/>
      <c r="O8" s="13">
        <v>6</v>
      </c>
      <c r="P8" s="10">
        <v>1500</v>
      </c>
      <c r="Q8" s="10">
        <v>129600</v>
      </c>
      <c r="R8" s="10"/>
      <c r="S8" s="10" t="s">
        <v>11</v>
      </c>
      <c r="T8" s="10" t="s">
        <v>24</v>
      </c>
      <c r="U8" s="10"/>
      <c r="V8" s="10"/>
    </row>
    <row r="9" ht="16.5" spans="1:22">
      <c r="A9" s="10">
        <v>7</v>
      </c>
      <c r="B9" s="11">
        <v>520</v>
      </c>
      <c r="C9" s="11">
        <f t="shared" si="1"/>
        <v>3720</v>
      </c>
      <c r="D9" s="12">
        <v>0.0135</v>
      </c>
      <c r="E9" s="10"/>
      <c r="F9" s="13"/>
      <c r="G9" s="11">
        <v>57</v>
      </c>
      <c r="H9" s="11">
        <v>3600</v>
      </c>
      <c r="I9" s="11">
        <f t="shared" si="0"/>
        <v>92980</v>
      </c>
      <c r="J9" s="12">
        <v>0.0585</v>
      </c>
      <c r="K9" s="10"/>
      <c r="L9" s="13"/>
      <c r="M9" s="3"/>
      <c r="N9" s="16"/>
      <c r="O9" s="13">
        <v>7</v>
      </c>
      <c r="P9" s="10">
        <v>1800</v>
      </c>
      <c r="Q9" s="10">
        <v>155400</v>
      </c>
      <c r="R9" s="10"/>
      <c r="S9" s="10"/>
      <c r="T9" s="10" t="s">
        <v>25</v>
      </c>
      <c r="U9" s="10"/>
      <c r="V9" s="10"/>
    </row>
    <row r="10" ht="16.5" spans="1:22">
      <c r="A10" s="10">
        <v>8</v>
      </c>
      <c r="B10" s="11">
        <v>560</v>
      </c>
      <c r="C10" s="11">
        <f t="shared" si="1"/>
        <v>4280</v>
      </c>
      <c r="D10" s="12">
        <v>0.014</v>
      </c>
      <c r="E10" s="10"/>
      <c r="F10" s="13"/>
      <c r="G10" s="11">
        <v>58</v>
      </c>
      <c r="H10" s="11">
        <v>3700</v>
      </c>
      <c r="I10" s="11">
        <f t="shared" si="0"/>
        <v>96680</v>
      </c>
      <c r="J10" s="12">
        <v>0.059</v>
      </c>
      <c r="K10" s="10"/>
      <c r="L10" s="13"/>
      <c r="M10" s="3"/>
      <c r="N10" s="16"/>
      <c r="O10" s="13">
        <v>8</v>
      </c>
      <c r="P10" s="10">
        <v>2100</v>
      </c>
      <c r="Q10" s="10">
        <v>181200</v>
      </c>
      <c r="R10" s="10" t="s">
        <v>26</v>
      </c>
      <c r="S10" s="17">
        <f>SUM(Q4:Q12)</f>
        <v>1164000</v>
      </c>
      <c r="T10" s="10" t="s">
        <v>27</v>
      </c>
      <c r="U10" s="10"/>
      <c r="V10" s="10"/>
    </row>
    <row r="11" ht="16.5" spans="1:22">
      <c r="A11" s="10">
        <v>9</v>
      </c>
      <c r="B11" s="11">
        <v>600</v>
      </c>
      <c r="C11" s="11">
        <f t="shared" si="1"/>
        <v>4880</v>
      </c>
      <c r="D11" s="12">
        <v>0.0145</v>
      </c>
      <c r="E11" s="10"/>
      <c r="F11" s="13"/>
      <c r="G11" s="11">
        <v>59</v>
      </c>
      <c r="H11" s="11">
        <v>3800</v>
      </c>
      <c r="I11" s="11">
        <f t="shared" si="0"/>
        <v>100480</v>
      </c>
      <c r="J11" s="12">
        <v>0.0594999999999999</v>
      </c>
      <c r="K11" s="10"/>
      <c r="L11" s="13"/>
      <c r="M11" s="3"/>
      <c r="N11" s="16"/>
      <c r="O11" s="13">
        <v>9</v>
      </c>
      <c r="P11" s="10">
        <v>2400</v>
      </c>
      <c r="Q11" s="10">
        <v>207000</v>
      </c>
      <c r="R11" s="10"/>
      <c r="S11" s="18"/>
      <c r="T11" s="10" t="s">
        <v>28</v>
      </c>
      <c r="U11" s="10"/>
      <c r="V11" s="10"/>
    </row>
    <row r="12" ht="16.5" spans="1:22">
      <c r="A12" s="10">
        <v>10</v>
      </c>
      <c r="B12" s="11">
        <v>640</v>
      </c>
      <c r="C12" s="11">
        <f t="shared" si="1"/>
        <v>5520</v>
      </c>
      <c r="D12" s="12">
        <v>0.015</v>
      </c>
      <c r="E12" s="10"/>
      <c r="F12" s="13"/>
      <c r="G12" s="11">
        <v>60</v>
      </c>
      <c r="H12" s="11">
        <v>3900</v>
      </c>
      <c r="I12" s="11">
        <f t="shared" si="0"/>
        <v>104380</v>
      </c>
      <c r="J12" s="12">
        <v>0.0599999999999999</v>
      </c>
      <c r="K12" s="10"/>
      <c r="L12" s="13"/>
      <c r="M12" s="3"/>
      <c r="N12" s="16"/>
      <c r="O12" s="13">
        <v>10</v>
      </c>
      <c r="P12" s="10">
        <v>2700</v>
      </c>
      <c r="Q12" s="10">
        <v>232800</v>
      </c>
      <c r="R12" s="10" t="s">
        <v>29</v>
      </c>
      <c r="S12" s="19"/>
      <c r="T12" s="10" t="s">
        <v>30</v>
      </c>
      <c r="U12" s="10"/>
      <c r="V12" s="10"/>
    </row>
    <row r="13" ht="16.5" spans="1:22">
      <c r="A13" s="10" t="s">
        <v>31</v>
      </c>
      <c r="B13" s="11"/>
      <c r="C13" s="11"/>
      <c r="D13" s="12">
        <v>0.019</v>
      </c>
      <c r="E13" s="10">
        <v>6</v>
      </c>
      <c r="F13" s="13" t="s">
        <v>32</v>
      </c>
      <c r="G13" s="11" t="s">
        <v>31</v>
      </c>
      <c r="H13" s="11"/>
      <c r="I13" s="11"/>
      <c r="J13" s="12">
        <v>0.064</v>
      </c>
      <c r="K13" s="10">
        <v>36</v>
      </c>
      <c r="L13" s="13" t="s">
        <v>33</v>
      </c>
      <c r="M13" s="3"/>
      <c r="N13" s="7" t="s">
        <v>8</v>
      </c>
      <c r="O13" s="20" t="s">
        <v>2</v>
      </c>
      <c r="P13" s="20" t="s">
        <v>10</v>
      </c>
      <c r="Q13" s="20" t="s">
        <v>11</v>
      </c>
      <c r="R13" s="20" t="s">
        <v>12</v>
      </c>
      <c r="S13" s="20" t="s">
        <v>13</v>
      </c>
      <c r="T13" s="20" t="s">
        <v>14</v>
      </c>
      <c r="U13" s="20"/>
      <c r="V13" s="20"/>
    </row>
    <row r="14" ht="16.5" spans="1:22">
      <c r="A14" s="10">
        <v>11</v>
      </c>
      <c r="B14" s="11">
        <v>680</v>
      </c>
      <c r="C14" s="11">
        <f>B14+C12</f>
        <v>6200</v>
      </c>
      <c r="D14" s="12">
        <v>0.0195</v>
      </c>
      <c r="E14" s="10"/>
      <c r="F14" s="13"/>
      <c r="G14" s="11">
        <v>61</v>
      </c>
      <c r="H14" s="11">
        <v>4000</v>
      </c>
      <c r="I14" s="11">
        <f>H14+I12</f>
        <v>108380</v>
      </c>
      <c r="J14" s="12">
        <v>0.0645</v>
      </c>
      <c r="K14" s="10"/>
      <c r="L14" s="13"/>
      <c r="M14" s="3"/>
      <c r="N14" s="16" t="s">
        <v>34</v>
      </c>
      <c r="O14" s="13">
        <v>1</v>
      </c>
      <c r="P14" s="10"/>
      <c r="Q14" s="10"/>
      <c r="R14" s="10"/>
      <c r="S14" s="10" t="s">
        <v>10</v>
      </c>
      <c r="T14" s="10" t="s">
        <v>35</v>
      </c>
      <c r="U14" s="10"/>
      <c r="V14" s="10"/>
    </row>
    <row r="15" ht="16.5" spans="1:22">
      <c r="A15" s="10">
        <v>12</v>
      </c>
      <c r="B15" s="11">
        <v>720</v>
      </c>
      <c r="C15" s="11">
        <f t="shared" ref="C15:C23" si="2">B15+C14</f>
        <v>6920</v>
      </c>
      <c r="D15" s="12">
        <v>0.02</v>
      </c>
      <c r="E15" s="10"/>
      <c r="F15" s="13"/>
      <c r="G15" s="11">
        <v>62</v>
      </c>
      <c r="H15" s="11">
        <v>4100</v>
      </c>
      <c r="I15" s="11">
        <f t="shared" ref="I15:I23" si="3">H15+I14</f>
        <v>112480</v>
      </c>
      <c r="J15" s="12">
        <v>0.065</v>
      </c>
      <c r="K15" s="10"/>
      <c r="L15" s="13"/>
      <c r="M15" s="3"/>
      <c r="N15" s="16"/>
      <c r="O15" s="13">
        <v>2</v>
      </c>
      <c r="P15" s="10">
        <v>300</v>
      </c>
      <c r="Q15" s="10">
        <v>25800</v>
      </c>
      <c r="R15" s="10"/>
      <c r="S15" s="10"/>
      <c r="T15" s="10" t="s">
        <v>36</v>
      </c>
      <c r="U15" s="10"/>
      <c r="V15" s="10"/>
    </row>
    <row r="16" ht="16.5" spans="1:22">
      <c r="A16" s="10">
        <v>13</v>
      </c>
      <c r="B16" s="11">
        <v>760</v>
      </c>
      <c r="C16" s="11">
        <f t="shared" si="2"/>
        <v>7680</v>
      </c>
      <c r="D16" s="12">
        <v>0.0205</v>
      </c>
      <c r="E16" s="10"/>
      <c r="F16" s="13"/>
      <c r="G16" s="11">
        <v>63</v>
      </c>
      <c r="H16" s="11">
        <v>4200</v>
      </c>
      <c r="I16" s="11">
        <f t="shared" si="3"/>
        <v>116680</v>
      </c>
      <c r="J16" s="12">
        <v>0.0655</v>
      </c>
      <c r="K16" s="10"/>
      <c r="L16" s="13"/>
      <c r="M16" s="3"/>
      <c r="N16" s="16"/>
      <c r="O16" s="13">
        <v>3</v>
      </c>
      <c r="P16" s="10">
        <v>600</v>
      </c>
      <c r="Q16" s="10">
        <v>51600</v>
      </c>
      <c r="R16" s="10"/>
      <c r="S16" s="17">
        <f>SUM(P15:P23)</f>
        <v>13500</v>
      </c>
      <c r="T16" s="10" t="s">
        <v>37</v>
      </c>
      <c r="U16" s="10"/>
      <c r="V16" s="10"/>
    </row>
    <row r="17" ht="16.5" spans="1:22">
      <c r="A17" s="10">
        <v>14</v>
      </c>
      <c r="B17" s="11">
        <v>800</v>
      </c>
      <c r="C17" s="11">
        <f t="shared" si="2"/>
        <v>8480</v>
      </c>
      <c r="D17" s="12">
        <v>0.021</v>
      </c>
      <c r="E17" s="10"/>
      <c r="F17" s="13"/>
      <c r="G17" s="11">
        <v>64</v>
      </c>
      <c r="H17" s="11">
        <v>4300</v>
      </c>
      <c r="I17" s="11">
        <f t="shared" si="3"/>
        <v>120980</v>
      </c>
      <c r="J17" s="12">
        <v>0.066</v>
      </c>
      <c r="K17" s="10"/>
      <c r="L17" s="13"/>
      <c r="M17" s="3"/>
      <c r="N17" s="16"/>
      <c r="O17" s="13">
        <v>4</v>
      </c>
      <c r="P17" s="10">
        <v>900</v>
      </c>
      <c r="Q17" s="10">
        <v>77400</v>
      </c>
      <c r="R17" s="10"/>
      <c r="S17" s="18"/>
      <c r="T17" s="10" t="s">
        <v>38</v>
      </c>
      <c r="U17" s="10"/>
      <c r="V17" s="10"/>
    </row>
    <row r="18" ht="16.5" spans="1:22">
      <c r="A18" s="10">
        <v>15</v>
      </c>
      <c r="B18" s="11">
        <v>840</v>
      </c>
      <c r="C18" s="11">
        <f t="shared" si="2"/>
        <v>9320</v>
      </c>
      <c r="D18" s="12">
        <v>0.0215</v>
      </c>
      <c r="E18" s="10"/>
      <c r="F18" s="13"/>
      <c r="G18" s="11">
        <v>65</v>
      </c>
      <c r="H18" s="11">
        <v>4400</v>
      </c>
      <c r="I18" s="11">
        <f t="shared" si="3"/>
        <v>125380</v>
      </c>
      <c r="J18" s="12">
        <v>0.0665</v>
      </c>
      <c r="K18" s="10"/>
      <c r="L18" s="13"/>
      <c r="M18" s="3"/>
      <c r="N18" s="16"/>
      <c r="O18" s="13">
        <v>5</v>
      </c>
      <c r="P18" s="10">
        <v>1200</v>
      </c>
      <c r="Q18" s="10">
        <v>103200</v>
      </c>
      <c r="R18" s="10" t="s">
        <v>39</v>
      </c>
      <c r="S18" s="19"/>
      <c r="T18" s="10" t="s">
        <v>40</v>
      </c>
      <c r="U18" s="10"/>
      <c r="V18" s="10"/>
    </row>
    <row r="19" ht="16.5" spans="1:22">
      <c r="A19" s="10">
        <v>16</v>
      </c>
      <c r="B19" s="11">
        <v>880</v>
      </c>
      <c r="C19" s="11">
        <f t="shared" si="2"/>
        <v>10200</v>
      </c>
      <c r="D19" s="12">
        <v>0.022</v>
      </c>
      <c r="E19" s="10"/>
      <c r="F19" s="13"/>
      <c r="G19" s="11">
        <v>66</v>
      </c>
      <c r="H19" s="11">
        <v>4500</v>
      </c>
      <c r="I19" s="11">
        <f t="shared" si="3"/>
        <v>129880</v>
      </c>
      <c r="J19" s="12">
        <v>0.067</v>
      </c>
      <c r="K19" s="10"/>
      <c r="L19" s="13"/>
      <c r="M19" s="3"/>
      <c r="N19" s="16"/>
      <c r="O19" s="13">
        <v>6</v>
      </c>
      <c r="P19" s="10">
        <v>1500</v>
      </c>
      <c r="Q19" s="10">
        <v>129600</v>
      </c>
      <c r="R19" s="10"/>
      <c r="S19" s="10" t="s">
        <v>11</v>
      </c>
      <c r="T19" s="10" t="s">
        <v>41</v>
      </c>
      <c r="U19" s="10"/>
      <c r="V19" s="10"/>
    </row>
    <row r="20" ht="16.5" spans="1:22">
      <c r="A20" s="10">
        <v>17</v>
      </c>
      <c r="B20" s="11">
        <v>920</v>
      </c>
      <c r="C20" s="11">
        <f t="shared" si="2"/>
        <v>11120</v>
      </c>
      <c r="D20" s="12">
        <v>0.0225</v>
      </c>
      <c r="E20" s="10"/>
      <c r="F20" s="13"/>
      <c r="G20" s="11">
        <v>67</v>
      </c>
      <c r="H20" s="11">
        <v>4600</v>
      </c>
      <c r="I20" s="11">
        <f t="shared" si="3"/>
        <v>134480</v>
      </c>
      <c r="J20" s="12">
        <v>0.0675</v>
      </c>
      <c r="K20" s="10"/>
      <c r="L20" s="13"/>
      <c r="M20" s="3"/>
      <c r="N20" s="16"/>
      <c r="O20" s="13">
        <v>7</v>
      </c>
      <c r="P20" s="10">
        <v>1800</v>
      </c>
      <c r="Q20" s="10">
        <v>155400</v>
      </c>
      <c r="R20" s="10"/>
      <c r="S20" s="10"/>
      <c r="T20" s="10" t="s">
        <v>42</v>
      </c>
      <c r="U20" s="10"/>
      <c r="V20" s="10"/>
    </row>
    <row r="21" ht="16.5" spans="1:22">
      <c r="A21" s="10">
        <v>18</v>
      </c>
      <c r="B21" s="11">
        <v>960</v>
      </c>
      <c r="C21" s="11">
        <f t="shared" si="2"/>
        <v>12080</v>
      </c>
      <c r="D21" s="12">
        <v>0.023</v>
      </c>
      <c r="E21" s="10"/>
      <c r="F21" s="13"/>
      <c r="G21" s="11">
        <v>68</v>
      </c>
      <c r="H21" s="11">
        <v>4700</v>
      </c>
      <c r="I21" s="11">
        <f t="shared" si="3"/>
        <v>139180</v>
      </c>
      <c r="J21" s="12">
        <v>0.068</v>
      </c>
      <c r="K21" s="10"/>
      <c r="L21" s="13"/>
      <c r="M21" s="3"/>
      <c r="N21" s="16"/>
      <c r="O21" s="13">
        <v>8</v>
      </c>
      <c r="P21" s="10">
        <v>2100</v>
      </c>
      <c r="Q21" s="10">
        <v>181200</v>
      </c>
      <c r="R21" s="10" t="s">
        <v>43</v>
      </c>
      <c r="S21" s="17">
        <f>SUM(Q15:Q23)</f>
        <v>1164000</v>
      </c>
      <c r="T21" s="10" t="s">
        <v>44</v>
      </c>
      <c r="U21" s="10"/>
      <c r="V21" s="10"/>
    </row>
    <row r="22" ht="16.5" spans="1:22">
      <c r="A22" s="10">
        <v>19</v>
      </c>
      <c r="B22" s="11">
        <v>1000</v>
      </c>
      <c r="C22" s="11">
        <f t="shared" si="2"/>
        <v>13080</v>
      </c>
      <c r="D22" s="12">
        <v>0.0235</v>
      </c>
      <c r="E22" s="10"/>
      <c r="F22" s="13"/>
      <c r="G22" s="11">
        <v>69</v>
      </c>
      <c r="H22" s="11">
        <v>4800</v>
      </c>
      <c r="I22" s="11">
        <f t="shared" si="3"/>
        <v>143980</v>
      </c>
      <c r="J22" s="12">
        <v>0.0685</v>
      </c>
      <c r="K22" s="10"/>
      <c r="L22" s="13"/>
      <c r="M22" s="3"/>
      <c r="N22" s="16"/>
      <c r="O22" s="13">
        <v>9</v>
      </c>
      <c r="P22" s="10">
        <v>2400</v>
      </c>
      <c r="Q22" s="10">
        <v>207000</v>
      </c>
      <c r="R22" s="10"/>
      <c r="S22" s="18"/>
      <c r="T22" s="10" t="s">
        <v>45</v>
      </c>
      <c r="U22" s="10"/>
      <c r="V22" s="10"/>
    </row>
    <row r="23" ht="16.5" spans="1:22">
      <c r="A23" s="10">
        <v>20</v>
      </c>
      <c r="B23" s="11">
        <v>1040</v>
      </c>
      <c r="C23" s="11">
        <f t="shared" si="2"/>
        <v>14120</v>
      </c>
      <c r="D23" s="12">
        <v>0.024</v>
      </c>
      <c r="E23" s="10"/>
      <c r="F23" s="13"/>
      <c r="G23" s="11">
        <v>70</v>
      </c>
      <c r="H23" s="11">
        <v>4900</v>
      </c>
      <c r="I23" s="11">
        <f t="shared" si="3"/>
        <v>148880</v>
      </c>
      <c r="J23" s="12">
        <v>0.069</v>
      </c>
      <c r="K23" s="10"/>
      <c r="L23" s="13"/>
      <c r="M23" s="3"/>
      <c r="N23" s="16"/>
      <c r="O23" s="13">
        <v>10</v>
      </c>
      <c r="P23" s="10">
        <v>2700</v>
      </c>
      <c r="Q23" s="10">
        <v>232800</v>
      </c>
      <c r="R23" s="10" t="s">
        <v>46</v>
      </c>
      <c r="S23" s="19"/>
      <c r="T23" s="15" t="s">
        <v>47</v>
      </c>
      <c r="U23" s="10"/>
      <c r="V23" s="10"/>
    </row>
    <row r="24" ht="16.5" spans="1:22">
      <c r="A24" s="10" t="s">
        <v>31</v>
      </c>
      <c r="B24" s="11"/>
      <c r="C24" s="11"/>
      <c r="D24" s="12">
        <v>0.028</v>
      </c>
      <c r="E24" s="10">
        <v>12</v>
      </c>
      <c r="F24" s="13" t="s">
        <v>48</v>
      </c>
      <c r="G24" s="11" t="s">
        <v>31</v>
      </c>
      <c r="H24" s="11"/>
      <c r="I24" s="11"/>
      <c r="J24" s="12">
        <v>0.073</v>
      </c>
      <c r="K24" s="10">
        <v>42</v>
      </c>
      <c r="L24" s="13" t="s">
        <v>49</v>
      </c>
      <c r="M24" s="3"/>
      <c r="N24" s="7" t="s">
        <v>8</v>
      </c>
      <c r="O24" s="20" t="s">
        <v>9</v>
      </c>
      <c r="P24" s="20" t="s">
        <v>10</v>
      </c>
      <c r="Q24" s="20" t="s">
        <v>11</v>
      </c>
      <c r="R24" s="20" t="s">
        <v>12</v>
      </c>
      <c r="S24" s="20" t="s">
        <v>13</v>
      </c>
      <c r="T24" s="20" t="s">
        <v>14</v>
      </c>
      <c r="U24" s="20"/>
      <c r="V24" s="20"/>
    </row>
    <row r="25" ht="16.5" spans="1:22">
      <c r="A25" s="10">
        <v>21</v>
      </c>
      <c r="B25" s="11">
        <v>1080</v>
      </c>
      <c r="C25" s="11">
        <f>B25+C23</f>
        <v>15200</v>
      </c>
      <c r="D25" s="12">
        <v>0.0285</v>
      </c>
      <c r="E25" s="10"/>
      <c r="F25" s="13"/>
      <c r="G25" s="11">
        <v>71</v>
      </c>
      <c r="H25" s="11">
        <v>5000</v>
      </c>
      <c r="I25" s="11">
        <f>H25+I23</f>
        <v>153880</v>
      </c>
      <c r="J25" s="12">
        <v>0.0735</v>
      </c>
      <c r="K25" s="10"/>
      <c r="L25" s="13"/>
      <c r="M25" s="3"/>
      <c r="N25" s="16" t="s">
        <v>50</v>
      </c>
      <c r="O25" s="13">
        <v>1</v>
      </c>
      <c r="P25" s="10"/>
      <c r="Q25" s="10"/>
      <c r="R25" s="10"/>
      <c r="S25" s="10" t="s">
        <v>10</v>
      </c>
      <c r="T25" s="10" t="s">
        <v>51</v>
      </c>
      <c r="U25" s="10"/>
      <c r="V25" s="10"/>
    </row>
    <row r="26" ht="16.5" spans="1:22">
      <c r="A26" s="10">
        <v>22</v>
      </c>
      <c r="B26" s="11">
        <v>1120</v>
      </c>
      <c r="C26" s="11">
        <f t="shared" ref="C26:C34" si="4">B26+C25</f>
        <v>16320</v>
      </c>
      <c r="D26" s="12">
        <v>0.029</v>
      </c>
      <c r="E26" s="10"/>
      <c r="F26" s="13"/>
      <c r="G26" s="11">
        <v>72</v>
      </c>
      <c r="H26" s="11">
        <v>5100</v>
      </c>
      <c r="I26" s="11">
        <f t="shared" ref="I26:I34" si="5">H26+I25</f>
        <v>158980</v>
      </c>
      <c r="J26" s="12">
        <v>0.074</v>
      </c>
      <c r="K26" s="10"/>
      <c r="L26" s="13"/>
      <c r="M26" s="3"/>
      <c r="N26" s="16"/>
      <c r="O26" s="13">
        <v>2</v>
      </c>
      <c r="P26" s="10">
        <v>300</v>
      </c>
      <c r="Q26" s="10">
        <v>25800</v>
      </c>
      <c r="R26" s="10"/>
      <c r="S26" s="10"/>
      <c r="T26" s="10" t="s">
        <v>52</v>
      </c>
      <c r="U26" s="10"/>
      <c r="V26" s="10"/>
    </row>
    <row r="27" ht="16.5" spans="1:22">
      <c r="A27" s="10">
        <v>23</v>
      </c>
      <c r="B27" s="11">
        <v>1160</v>
      </c>
      <c r="C27" s="11">
        <f t="shared" si="4"/>
        <v>17480</v>
      </c>
      <c r="D27" s="12">
        <v>0.0295</v>
      </c>
      <c r="E27" s="10"/>
      <c r="F27" s="13"/>
      <c r="G27" s="11">
        <v>73</v>
      </c>
      <c r="H27" s="11">
        <v>5200</v>
      </c>
      <c r="I27" s="11">
        <f t="shared" si="5"/>
        <v>164180</v>
      </c>
      <c r="J27" s="12">
        <v>0.0745</v>
      </c>
      <c r="K27" s="10"/>
      <c r="L27" s="13"/>
      <c r="M27" s="3"/>
      <c r="N27" s="16"/>
      <c r="O27" s="13">
        <v>3</v>
      </c>
      <c r="P27" s="10">
        <v>600</v>
      </c>
      <c r="Q27" s="10">
        <v>51600</v>
      </c>
      <c r="R27" s="10"/>
      <c r="S27" s="17">
        <f>SUM(P26:P34)</f>
        <v>13500</v>
      </c>
      <c r="T27" s="10" t="s">
        <v>53</v>
      </c>
      <c r="U27" s="10"/>
      <c r="V27" s="10"/>
    </row>
    <row r="28" ht="16.5" spans="1:22">
      <c r="A28" s="10">
        <v>24</v>
      </c>
      <c r="B28" s="11">
        <v>1200</v>
      </c>
      <c r="C28" s="11">
        <f t="shared" si="4"/>
        <v>18680</v>
      </c>
      <c r="D28" s="12">
        <v>0.03</v>
      </c>
      <c r="E28" s="10"/>
      <c r="F28" s="13"/>
      <c r="G28" s="11">
        <v>74</v>
      </c>
      <c r="H28" s="11">
        <v>5300</v>
      </c>
      <c r="I28" s="11">
        <f t="shared" si="5"/>
        <v>169480</v>
      </c>
      <c r="J28" s="12">
        <v>0.075</v>
      </c>
      <c r="K28" s="10"/>
      <c r="L28" s="13"/>
      <c r="M28" s="3"/>
      <c r="N28" s="16"/>
      <c r="O28" s="13">
        <v>4</v>
      </c>
      <c r="P28" s="10">
        <v>900</v>
      </c>
      <c r="Q28" s="10">
        <v>77400</v>
      </c>
      <c r="R28" s="10"/>
      <c r="S28" s="18"/>
      <c r="T28" s="10" t="s">
        <v>54</v>
      </c>
      <c r="U28" s="10"/>
      <c r="V28" s="10"/>
    </row>
    <row r="29" ht="16.5" spans="1:22">
      <c r="A29" s="10">
        <v>25</v>
      </c>
      <c r="B29" s="11">
        <v>1240</v>
      </c>
      <c r="C29" s="11">
        <f t="shared" si="4"/>
        <v>19920</v>
      </c>
      <c r="D29" s="12">
        <v>0.0305</v>
      </c>
      <c r="E29" s="10"/>
      <c r="F29" s="13"/>
      <c r="G29" s="11">
        <v>75</v>
      </c>
      <c r="H29" s="11">
        <v>5400</v>
      </c>
      <c r="I29" s="11">
        <f t="shared" si="5"/>
        <v>174880</v>
      </c>
      <c r="J29" s="12">
        <v>0.0755</v>
      </c>
      <c r="K29" s="10"/>
      <c r="L29" s="13"/>
      <c r="M29" s="3"/>
      <c r="N29" s="16"/>
      <c r="O29" s="13">
        <v>5</v>
      </c>
      <c r="P29" s="10">
        <v>1200</v>
      </c>
      <c r="Q29" s="10">
        <v>103200</v>
      </c>
      <c r="R29" s="10" t="s">
        <v>55</v>
      </c>
      <c r="S29" s="19"/>
      <c r="T29" s="10" t="s">
        <v>56</v>
      </c>
      <c r="U29" s="10"/>
      <c r="V29" s="10"/>
    </row>
    <row r="30" ht="16.5" spans="1:22">
      <c r="A30" s="10">
        <v>26</v>
      </c>
      <c r="B30" s="11">
        <v>1280</v>
      </c>
      <c r="C30" s="11">
        <f t="shared" si="4"/>
        <v>21200</v>
      </c>
      <c r="D30" s="12">
        <v>0.031</v>
      </c>
      <c r="E30" s="10"/>
      <c r="F30" s="13"/>
      <c r="G30" s="11">
        <v>76</v>
      </c>
      <c r="H30" s="11">
        <v>5500</v>
      </c>
      <c r="I30" s="11">
        <f t="shared" si="5"/>
        <v>180380</v>
      </c>
      <c r="J30" s="12">
        <v>0.076</v>
      </c>
      <c r="K30" s="10"/>
      <c r="L30" s="13"/>
      <c r="M30" s="3"/>
      <c r="N30" s="16"/>
      <c r="O30" s="13">
        <v>6</v>
      </c>
      <c r="P30" s="10">
        <v>1500</v>
      </c>
      <c r="Q30" s="10">
        <v>129600</v>
      </c>
      <c r="R30" s="10"/>
      <c r="S30" s="10" t="s">
        <v>11</v>
      </c>
      <c r="T30" s="10" t="s">
        <v>57</v>
      </c>
      <c r="U30" s="10"/>
      <c r="V30" s="10"/>
    </row>
    <row r="31" ht="16.5" spans="1:22">
      <c r="A31" s="10">
        <v>27</v>
      </c>
      <c r="B31" s="11">
        <v>1320</v>
      </c>
      <c r="C31" s="11">
        <f t="shared" si="4"/>
        <v>22520</v>
      </c>
      <c r="D31" s="12">
        <v>0.0315</v>
      </c>
      <c r="E31" s="10"/>
      <c r="F31" s="13"/>
      <c r="G31" s="11">
        <v>77</v>
      </c>
      <c r="H31" s="11">
        <v>5600</v>
      </c>
      <c r="I31" s="11">
        <f t="shared" si="5"/>
        <v>185980</v>
      </c>
      <c r="J31" s="12">
        <v>0.0765</v>
      </c>
      <c r="K31" s="10"/>
      <c r="L31" s="13"/>
      <c r="M31" s="3"/>
      <c r="N31" s="16"/>
      <c r="O31" s="13">
        <v>7</v>
      </c>
      <c r="P31" s="10">
        <v>1800</v>
      </c>
      <c r="Q31" s="10">
        <v>155400</v>
      </c>
      <c r="R31" s="10"/>
      <c r="S31" s="10"/>
      <c r="T31" s="10" t="s">
        <v>58</v>
      </c>
      <c r="U31" s="10"/>
      <c r="V31" s="10"/>
    </row>
    <row r="32" ht="16.5" spans="1:22">
      <c r="A32" s="10">
        <v>28</v>
      </c>
      <c r="B32" s="11">
        <v>1360</v>
      </c>
      <c r="C32" s="11">
        <f t="shared" si="4"/>
        <v>23880</v>
      </c>
      <c r="D32" s="12">
        <v>0.032</v>
      </c>
      <c r="E32" s="10"/>
      <c r="F32" s="13"/>
      <c r="G32" s="11">
        <v>78</v>
      </c>
      <c r="H32" s="11">
        <v>5700</v>
      </c>
      <c r="I32" s="11">
        <f t="shared" si="5"/>
        <v>191680</v>
      </c>
      <c r="J32" s="12">
        <v>0.077</v>
      </c>
      <c r="K32" s="10"/>
      <c r="L32" s="13"/>
      <c r="M32" s="3"/>
      <c r="N32" s="16"/>
      <c r="O32" s="13">
        <v>8</v>
      </c>
      <c r="P32" s="10">
        <v>2100</v>
      </c>
      <c r="Q32" s="10">
        <v>181200</v>
      </c>
      <c r="R32" s="10" t="s">
        <v>59</v>
      </c>
      <c r="S32" s="17">
        <f>SUM(Q26:Q34)</f>
        <v>1164000</v>
      </c>
      <c r="T32" s="10" t="s">
        <v>60</v>
      </c>
      <c r="U32" s="10"/>
      <c r="V32" s="10"/>
    </row>
    <row r="33" ht="16.5" spans="1:22">
      <c r="A33" s="10">
        <v>29</v>
      </c>
      <c r="B33" s="11">
        <v>1400</v>
      </c>
      <c r="C33" s="11">
        <f t="shared" si="4"/>
        <v>25280</v>
      </c>
      <c r="D33" s="12">
        <v>0.0325</v>
      </c>
      <c r="E33" s="10"/>
      <c r="F33" s="13"/>
      <c r="G33" s="11">
        <v>79</v>
      </c>
      <c r="H33" s="11">
        <v>5800</v>
      </c>
      <c r="I33" s="11">
        <f t="shared" si="5"/>
        <v>197480</v>
      </c>
      <c r="J33" s="12">
        <v>0.0775</v>
      </c>
      <c r="K33" s="10"/>
      <c r="L33" s="13"/>
      <c r="M33" s="3"/>
      <c r="N33" s="16"/>
      <c r="O33" s="13">
        <v>9</v>
      </c>
      <c r="P33" s="10">
        <v>2400</v>
      </c>
      <c r="Q33" s="10">
        <v>207000</v>
      </c>
      <c r="R33" s="10"/>
      <c r="S33" s="18"/>
      <c r="T33" s="10" t="s">
        <v>61</v>
      </c>
      <c r="U33" s="10"/>
      <c r="V33" s="10"/>
    </row>
    <row r="34" ht="16.5" spans="1:22">
      <c r="A34" s="10">
        <v>30</v>
      </c>
      <c r="B34" s="11">
        <v>1460</v>
      </c>
      <c r="C34" s="11">
        <f t="shared" si="4"/>
        <v>26740</v>
      </c>
      <c r="D34" s="12">
        <v>0.033</v>
      </c>
      <c r="E34" s="10"/>
      <c r="F34" s="13"/>
      <c r="G34" s="11">
        <v>80</v>
      </c>
      <c r="H34" s="11">
        <v>5900</v>
      </c>
      <c r="I34" s="11">
        <f t="shared" si="5"/>
        <v>203380</v>
      </c>
      <c r="J34" s="12">
        <v>0.078</v>
      </c>
      <c r="K34" s="10"/>
      <c r="L34" s="13"/>
      <c r="M34" s="3"/>
      <c r="N34" s="16"/>
      <c r="O34" s="13">
        <v>10</v>
      </c>
      <c r="P34" s="10">
        <v>2700</v>
      </c>
      <c r="Q34" s="10">
        <v>232800</v>
      </c>
      <c r="R34" s="10" t="s">
        <v>62</v>
      </c>
      <c r="S34" s="19"/>
      <c r="T34" s="10" t="s">
        <v>63</v>
      </c>
      <c r="U34" s="10"/>
      <c r="V34" s="10"/>
    </row>
    <row r="35" ht="16.5" spans="1:22">
      <c r="A35" s="10" t="s">
        <v>31</v>
      </c>
      <c r="B35" s="11"/>
      <c r="C35" s="11"/>
      <c r="D35" s="12">
        <v>0.037</v>
      </c>
      <c r="E35" s="10">
        <v>18</v>
      </c>
      <c r="F35" s="13" t="s">
        <v>64</v>
      </c>
      <c r="G35" s="11" t="s">
        <v>31</v>
      </c>
      <c r="H35" s="11"/>
      <c r="I35" s="11"/>
      <c r="J35" s="12">
        <v>0.082</v>
      </c>
      <c r="K35" s="10">
        <v>48</v>
      </c>
      <c r="L35" s="13" t="s">
        <v>65</v>
      </c>
      <c r="M35" s="3"/>
      <c r="N35" s="7" t="s">
        <v>8</v>
      </c>
      <c r="O35" s="20" t="s">
        <v>9</v>
      </c>
      <c r="P35" s="20" t="s">
        <v>10</v>
      </c>
      <c r="Q35" s="20" t="s">
        <v>11</v>
      </c>
      <c r="R35" s="20" t="s">
        <v>12</v>
      </c>
      <c r="S35" s="20" t="s">
        <v>13</v>
      </c>
      <c r="T35" s="20" t="s">
        <v>14</v>
      </c>
      <c r="U35" s="20"/>
      <c r="V35" s="20"/>
    </row>
    <row r="36" ht="16.5" spans="1:22">
      <c r="A36" s="10">
        <v>31</v>
      </c>
      <c r="B36" s="11">
        <v>1520</v>
      </c>
      <c r="C36" s="11">
        <f>B36+C34</f>
        <v>28260</v>
      </c>
      <c r="D36" s="12">
        <v>0.0375</v>
      </c>
      <c r="E36" s="10"/>
      <c r="F36" s="13"/>
      <c r="G36" s="11">
        <v>81</v>
      </c>
      <c r="H36" s="11">
        <v>6000</v>
      </c>
      <c r="I36" s="11">
        <f>H36+I34</f>
        <v>209380</v>
      </c>
      <c r="J36" s="12">
        <v>0.0825</v>
      </c>
      <c r="K36" s="10"/>
      <c r="L36" s="13"/>
      <c r="M36" s="3"/>
      <c r="N36" s="16" t="s">
        <v>66</v>
      </c>
      <c r="O36" s="13">
        <v>1</v>
      </c>
      <c r="P36" s="10"/>
      <c r="Q36" s="10"/>
      <c r="R36" s="10"/>
      <c r="S36" s="10" t="s">
        <v>10</v>
      </c>
      <c r="T36" s="10" t="s">
        <v>67</v>
      </c>
      <c r="U36" s="10"/>
      <c r="V36" s="10"/>
    </row>
    <row r="37" ht="16.5" spans="1:22">
      <c r="A37" s="10">
        <v>32</v>
      </c>
      <c r="B37" s="11">
        <v>1580</v>
      </c>
      <c r="C37" s="11">
        <f t="shared" ref="C37:C45" si="6">B37+C36</f>
        <v>29840</v>
      </c>
      <c r="D37" s="12">
        <v>0.038</v>
      </c>
      <c r="E37" s="10"/>
      <c r="F37" s="13"/>
      <c r="G37" s="11">
        <v>82</v>
      </c>
      <c r="H37" s="11">
        <v>6100</v>
      </c>
      <c r="I37" s="11">
        <f t="shared" ref="I37:I45" si="7">H37+I36</f>
        <v>215480</v>
      </c>
      <c r="J37" s="12">
        <v>0.083</v>
      </c>
      <c r="K37" s="10"/>
      <c r="L37" s="13"/>
      <c r="M37" s="3"/>
      <c r="N37" s="16"/>
      <c r="O37" s="13">
        <v>2</v>
      </c>
      <c r="P37" s="10">
        <v>500</v>
      </c>
      <c r="Q37" s="10">
        <v>51600</v>
      </c>
      <c r="R37" s="10"/>
      <c r="S37" s="10"/>
      <c r="T37" s="10" t="s">
        <v>68</v>
      </c>
      <c r="U37" s="10"/>
      <c r="V37" s="10"/>
    </row>
    <row r="38" ht="16.5" spans="1:22">
      <c r="A38" s="10">
        <v>33</v>
      </c>
      <c r="B38" s="11">
        <v>1640</v>
      </c>
      <c r="C38" s="11">
        <f t="shared" si="6"/>
        <v>31480</v>
      </c>
      <c r="D38" s="12">
        <v>0.0385</v>
      </c>
      <c r="E38" s="10"/>
      <c r="F38" s="13"/>
      <c r="G38" s="11">
        <v>83</v>
      </c>
      <c r="H38" s="11">
        <v>6200</v>
      </c>
      <c r="I38" s="11">
        <f t="shared" si="7"/>
        <v>221680</v>
      </c>
      <c r="J38" s="12">
        <v>0.0835</v>
      </c>
      <c r="K38" s="10"/>
      <c r="L38" s="13"/>
      <c r="M38" s="3"/>
      <c r="N38" s="16"/>
      <c r="O38" s="13">
        <v>3</v>
      </c>
      <c r="P38" s="10">
        <v>1000</v>
      </c>
      <c r="Q38" s="10">
        <v>103200</v>
      </c>
      <c r="R38" s="10"/>
      <c r="S38" s="17">
        <f>SUM(P37:P45)</f>
        <v>22500</v>
      </c>
      <c r="T38" s="10" t="s">
        <v>69</v>
      </c>
      <c r="U38" s="10"/>
      <c r="V38" s="10"/>
    </row>
    <row r="39" ht="16.5" spans="1:22">
      <c r="A39" s="10">
        <v>34</v>
      </c>
      <c r="B39" s="11">
        <v>1700</v>
      </c>
      <c r="C39" s="11">
        <f t="shared" si="6"/>
        <v>33180</v>
      </c>
      <c r="D39" s="12">
        <v>0.039</v>
      </c>
      <c r="E39" s="10"/>
      <c r="F39" s="13"/>
      <c r="G39" s="11">
        <v>84</v>
      </c>
      <c r="H39" s="11">
        <v>6300</v>
      </c>
      <c r="I39" s="11">
        <f t="shared" si="7"/>
        <v>227980</v>
      </c>
      <c r="J39" s="12">
        <v>0.084</v>
      </c>
      <c r="K39" s="10"/>
      <c r="L39" s="13"/>
      <c r="M39" s="3"/>
      <c r="N39" s="16"/>
      <c r="O39" s="13">
        <v>4</v>
      </c>
      <c r="P39" s="10">
        <v>1500</v>
      </c>
      <c r="Q39" s="10">
        <v>155400</v>
      </c>
      <c r="R39" s="10"/>
      <c r="S39" s="18"/>
      <c r="T39" s="10" t="s">
        <v>70</v>
      </c>
      <c r="U39" s="10"/>
      <c r="V39" s="10"/>
    </row>
    <row r="40" ht="16.5" spans="1:22">
      <c r="A40" s="10">
        <v>35</v>
      </c>
      <c r="B40" s="11">
        <v>1760</v>
      </c>
      <c r="C40" s="11">
        <f t="shared" si="6"/>
        <v>34940</v>
      </c>
      <c r="D40" s="12">
        <v>0.0395</v>
      </c>
      <c r="E40" s="10"/>
      <c r="F40" s="13"/>
      <c r="G40" s="11">
        <v>85</v>
      </c>
      <c r="H40" s="11">
        <v>6400</v>
      </c>
      <c r="I40" s="11">
        <f t="shared" si="7"/>
        <v>234380</v>
      </c>
      <c r="J40" s="12">
        <v>0.0845000000000001</v>
      </c>
      <c r="K40" s="10"/>
      <c r="L40" s="13"/>
      <c r="M40" s="3"/>
      <c r="N40" s="16"/>
      <c r="O40" s="13">
        <v>5</v>
      </c>
      <c r="P40" s="10">
        <v>2000</v>
      </c>
      <c r="Q40" s="10">
        <v>207000</v>
      </c>
      <c r="R40" s="10" t="s">
        <v>71</v>
      </c>
      <c r="S40" s="19"/>
      <c r="T40" s="10" t="s">
        <v>72</v>
      </c>
      <c r="U40" s="10"/>
      <c r="V40" s="10"/>
    </row>
    <row r="41" ht="16.5" spans="1:22">
      <c r="A41" s="10">
        <v>36</v>
      </c>
      <c r="B41" s="11">
        <v>1820</v>
      </c>
      <c r="C41" s="11">
        <f t="shared" si="6"/>
        <v>36760</v>
      </c>
      <c r="D41" s="12">
        <v>0.04</v>
      </c>
      <c r="E41" s="10"/>
      <c r="F41" s="13"/>
      <c r="G41" s="11">
        <v>86</v>
      </c>
      <c r="H41" s="11">
        <v>6500</v>
      </c>
      <c r="I41" s="11">
        <f t="shared" si="7"/>
        <v>240880</v>
      </c>
      <c r="J41" s="12">
        <v>0.0850000000000001</v>
      </c>
      <c r="K41" s="10"/>
      <c r="L41" s="13"/>
      <c r="M41" s="3"/>
      <c r="N41" s="16"/>
      <c r="O41" s="13">
        <v>6</v>
      </c>
      <c r="P41" s="10">
        <v>2500</v>
      </c>
      <c r="Q41" s="10">
        <v>259200</v>
      </c>
      <c r="R41" s="10"/>
      <c r="S41" s="10" t="s">
        <v>11</v>
      </c>
      <c r="T41" s="10" t="s">
        <v>73</v>
      </c>
      <c r="U41" s="10"/>
      <c r="V41" s="10"/>
    </row>
    <row r="42" ht="16.5" spans="1:22">
      <c r="A42" s="10">
        <v>37</v>
      </c>
      <c r="B42" s="11">
        <v>1880</v>
      </c>
      <c r="C42" s="11">
        <f t="shared" si="6"/>
        <v>38640</v>
      </c>
      <c r="D42" s="12">
        <v>0.0405</v>
      </c>
      <c r="E42" s="10"/>
      <c r="F42" s="13"/>
      <c r="G42" s="11">
        <v>87</v>
      </c>
      <c r="H42" s="11">
        <v>6600</v>
      </c>
      <c r="I42" s="11">
        <f t="shared" si="7"/>
        <v>247480</v>
      </c>
      <c r="J42" s="12">
        <v>0.0855000000000001</v>
      </c>
      <c r="K42" s="10"/>
      <c r="L42" s="13"/>
      <c r="M42" s="3"/>
      <c r="N42" s="16"/>
      <c r="O42" s="13">
        <v>7</v>
      </c>
      <c r="P42" s="10">
        <v>3000</v>
      </c>
      <c r="Q42" s="10">
        <v>310800</v>
      </c>
      <c r="R42" s="10"/>
      <c r="S42" s="10"/>
      <c r="T42" s="10" t="s">
        <v>74</v>
      </c>
      <c r="U42" s="10"/>
      <c r="V42" s="10"/>
    </row>
    <row r="43" ht="16.5" spans="1:22">
      <c r="A43" s="10">
        <v>38</v>
      </c>
      <c r="B43" s="11">
        <v>1940</v>
      </c>
      <c r="C43" s="11">
        <f t="shared" si="6"/>
        <v>40580</v>
      </c>
      <c r="D43" s="12">
        <v>0.041</v>
      </c>
      <c r="E43" s="10"/>
      <c r="F43" s="13"/>
      <c r="G43" s="11">
        <v>88</v>
      </c>
      <c r="H43" s="11">
        <v>6700</v>
      </c>
      <c r="I43" s="11">
        <f t="shared" si="7"/>
        <v>254180</v>
      </c>
      <c r="J43" s="12">
        <v>0.0860000000000001</v>
      </c>
      <c r="K43" s="10"/>
      <c r="L43" s="13"/>
      <c r="M43" s="3"/>
      <c r="N43" s="16"/>
      <c r="O43" s="13">
        <v>8</v>
      </c>
      <c r="P43" s="10">
        <v>3500</v>
      </c>
      <c r="Q43" s="10">
        <v>362400</v>
      </c>
      <c r="R43" s="10" t="s">
        <v>75</v>
      </c>
      <c r="S43" s="17">
        <f>SUM(Q37:Q45)</f>
        <v>2330400</v>
      </c>
      <c r="T43" s="10" t="s">
        <v>76</v>
      </c>
      <c r="U43" s="10"/>
      <c r="V43" s="10"/>
    </row>
    <row r="44" ht="16.5" spans="1:22">
      <c r="A44" s="10">
        <v>39</v>
      </c>
      <c r="B44" s="11">
        <v>2000</v>
      </c>
      <c r="C44" s="11">
        <f t="shared" si="6"/>
        <v>42580</v>
      </c>
      <c r="D44" s="12">
        <v>0.0414999999999999</v>
      </c>
      <c r="E44" s="10"/>
      <c r="F44" s="13"/>
      <c r="G44" s="11">
        <v>89</v>
      </c>
      <c r="H44" s="11">
        <v>6800</v>
      </c>
      <c r="I44" s="11">
        <f t="shared" si="7"/>
        <v>260980</v>
      </c>
      <c r="J44" s="12">
        <v>0.0865000000000001</v>
      </c>
      <c r="K44" s="10"/>
      <c r="L44" s="13"/>
      <c r="M44" s="3"/>
      <c r="N44" s="16"/>
      <c r="O44" s="13">
        <v>9</v>
      </c>
      <c r="P44" s="10">
        <v>4000</v>
      </c>
      <c r="Q44" s="10">
        <v>414600</v>
      </c>
      <c r="R44" s="10"/>
      <c r="S44" s="18"/>
      <c r="T44" s="10" t="s">
        <v>77</v>
      </c>
      <c r="U44" s="10"/>
      <c r="V44" s="10"/>
    </row>
    <row r="45" ht="16.5" spans="1:22">
      <c r="A45" s="10">
        <v>40</v>
      </c>
      <c r="B45" s="11">
        <v>2080</v>
      </c>
      <c r="C45" s="11">
        <f t="shared" si="6"/>
        <v>44660</v>
      </c>
      <c r="D45" s="12">
        <v>0.0419999999999999</v>
      </c>
      <c r="E45" s="10"/>
      <c r="F45" s="13"/>
      <c r="G45" s="11">
        <v>90</v>
      </c>
      <c r="H45" s="11">
        <v>6900</v>
      </c>
      <c r="I45" s="11">
        <f t="shared" si="7"/>
        <v>267880</v>
      </c>
      <c r="J45" s="12">
        <v>0.0870000000000001</v>
      </c>
      <c r="K45" s="10"/>
      <c r="L45" s="13"/>
      <c r="M45" s="3"/>
      <c r="N45" s="16"/>
      <c r="O45" s="13">
        <v>10</v>
      </c>
      <c r="P45" s="10">
        <v>4500</v>
      </c>
      <c r="Q45" s="10">
        <v>466200</v>
      </c>
      <c r="R45" s="10" t="s">
        <v>78</v>
      </c>
      <c r="S45" s="19"/>
      <c r="T45" s="10" t="s">
        <v>79</v>
      </c>
      <c r="U45" s="10"/>
      <c r="V45" s="10"/>
    </row>
    <row r="46" ht="16.5" spans="1:22">
      <c r="A46" s="10" t="s">
        <v>31</v>
      </c>
      <c r="B46" s="11"/>
      <c r="C46" s="11"/>
      <c r="D46" s="12">
        <v>0.046</v>
      </c>
      <c r="E46" s="10">
        <v>24</v>
      </c>
      <c r="F46" s="13" t="s">
        <v>80</v>
      </c>
      <c r="G46" s="11" t="s">
        <v>31</v>
      </c>
      <c r="H46" s="11"/>
      <c r="I46" s="11"/>
      <c r="J46" s="12">
        <v>0.091</v>
      </c>
      <c r="K46" s="10">
        <v>54</v>
      </c>
      <c r="L46" s="13" t="s">
        <v>81</v>
      </c>
      <c r="M46" s="3"/>
      <c r="N46" s="20" t="s">
        <v>8</v>
      </c>
      <c r="O46" s="20"/>
      <c r="P46" s="20" t="s">
        <v>2</v>
      </c>
      <c r="Q46" s="20" t="s">
        <v>7</v>
      </c>
      <c r="R46" s="20"/>
      <c r="S46" s="20" t="s">
        <v>82</v>
      </c>
      <c r="T46" s="20" t="s">
        <v>14</v>
      </c>
      <c r="U46" s="20"/>
      <c r="V46" s="20"/>
    </row>
    <row r="47" ht="16.5" spans="1:22">
      <c r="A47" s="10">
        <v>41</v>
      </c>
      <c r="B47" s="11">
        <v>2160</v>
      </c>
      <c r="C47" s="11">
        <f>B47+C45</f>
        <v>46820</v>
      </c>
      <c r="D47" s="12">
        <v>0.0465</v>
      </c>
      <c r="E47" s="10"/>
      <c r="F47" s="13"/>
      <c r="G47" s="11">
        <v>91</v>
      </c>
      <c r="H47" s="11">
        <v>7000</v>
      </c>
      <c r="I47" s="11">
        <f>H47+I45</f>
        <v>274880</v>
      </c>
      <c r="J47" s="12">
        <v>0.0915</v>
      </c>
      <c r="K47" s="10"/>
      <c r="L47" s="13"/>
      <c r="M47" s="3"/>
      <c r="N47" s="16" t="s">
        <v>83</v>
      </c>
      <c r="O47" s="16"/>
      <c r="P47" s="13">
        <v>1</v>
      </c>
      <c r="Q47" s="10" t="s">
        <v>15</v>
      </c>
      <c r="R47" s="10"/>
      <c r="S47" s="10">
        <v>1</v>
      </c>
      <c r="T47" s="10" t="s">
        <v>84</v>
      </c>
      <c r="U47" s="10"/>
      <c r="V47" s="10"/>
    </row>
    <row r="48" ht="16.5" spans="1:22">
      <c r="A48" s="10">
        <v>42</v>
      </c>
      <c r="B48" s="11">
        <v>2240</v>
      </c>
      <c r="C48" s="11">
        <f t="shared" ref="C48:C56" si="8">B48+C47</f>
        <v>49060</v>
      </c>
      <c r="D48" s="12">
        <v>0.047</v>
      </c>
      <c r="E48" s="10"/>
      <c r="F48" s="13"/>
      <c r="G48" s="11">
        <v>92</v>
      </c>
      <c r="H48" s="11">
        <v>7100</v>
      </c>
      <c r="I48" s="11">
        <f t="shared" ref="I48:I56" si="9">H48+I47</f>
        <v>281980</v>
      </c>
      <c r="J48" s="12">
        <v>0.092</v>
      </c>
      <c r="K48" s="10"/>
      <c r="L48" s="13"/>
      <c r="M48" s="3"/>
      <c r="N48" s="16"/>
      <c r="O48" s="16"/>
      <c r="P48" s="13">
        <v>10</v>
      </c>
      <c r="Q48" s="10" t="s">
        <v>32</v>
      </c>
      <c r="R48" s="10"/>
      <c r="S48" s="10">
        <v>2</v>
      </c>
      <c r="T48" s="10" t="s">
        <v>85</v>
      </c>
      <c r="U48" s="10"/>
      <c r="V48" s="10"/>
    </row>
    <row r="49" ht="16.5" spans="1:22">
      <c r="A49" s="10">
        <v>43</v>
      </c>
      <c r="B49" s="11">
        <v>2320</v>
      </c>
      <c r="C49" s="11">
        <f t="shared" si="8"/>
        <v>51380</v>
      </c>
      <c r="D49" s="12">
        <v>0.0475</v>
      </c>
      <c r="E49" s="10"/>
      <c r="F49" s="13"/>
      <c r="G49" s="11">
        <v>93</v>
      </c>
      <c r="H49" s="11">
        <v>7200</v>
      </c>
      <c r="I49" s="11">
        <f t="shared" si="9"/>
        <v>289180</v>
      </c>
      <c r="J49" s="12">
        <v>0.0925</v>
      </c>
      <c r="K49" s="10"/>
      <c r="L49" s="13"/>
      <c r="M49" s="3"/>
      <c r="N49" s="16"/>
      <c r="O49" s="16"/>
      <c r="P49" s="13">
        <v>20</v>
      </c>
      <c r="Q49" s="10" t="s">
        <v>48</v>
      </c>
      <c r="R49" s="10"/>
      <c r="S49" s="10">
        <v>3</v>
      </c>
      <c r="T49" s="10" t="s">
        <v>86</v>
      </c>
      <c r="U49" s="10"/>
      <c r="V49" s="10"/>
    </row>
    <row r="50" ht="16.5" spans="1:22">
      <c r="A50" s="10">
        <v>44</v>
      </c>
      <c r="B50" s="11">
        <v>2400</v>
      </c>
      <c r="C50" s="11">
        <f t="shared" si="8"/>
        <v>53780</v>
      </c>
      <c r="D50" s="12">
        <v>0.048</v>
      </c>
      <c r="E50" s="10"/>
      <c r="F50" s="13"/>
      <c r="G50" s="11">
        <v>94</v>
      </c>
      <c r="H50" s="11">
        <v>7300</v>
      </c>
      <c r="I50" s="11">
        <f t="shared" si="9"/>
        <v>296480</v>
      </c>
      <c r="J50" s="12">
        <v>0.093</v>
      </c>
      <c r="K50" s="10"/>
      <c r="L50" s="13"/>
      <c r="M50" s="3"/>
      <c r="N50" s="16"/>
      <c r="O50" s="16"/>
      <c r="P50" s="13">
        <v>30</v>
      </c>
      <c r="Q50" s="10" t="s">
        <v>64</v>
      </c>
      <c r="R50" s="10"/>
      <c r="S50" s="10">
        <v>4</v>
      </c>
      <c r="T50" s="10" t="s">
        <v>87</v>
      </c>
      <c r="U50" s="10"/>
      <c r="V50" s="10"/>
    </row>
    <row r="51" ht="16.5" spans="1:22">
      <c r="A51" s="10">
        <v>45</v>
      </c>
      <c r="B51" s="11">
        <v>2480</v>
      </c>
      <c r="C51" s="11">
        <f t="shared" si="8"/>
        <v>56260</v>
      </c>
      <c r="D51" s="12">
        <v>0.0485</v>
      </c>
      <c r="E51" s="10"/>
      <c r="F51" s="13"/>
      <c r="G51" s="11">
        <v>95</v>
      </c>
      <c r="H51" s="11">
        <v>7400</v>
      </c>
      <c r="I51" s="11">
        <f t="shared" si="9"/>
        <v>303880</v>
      </c>
      <c r="J51" s="12">
        <v>0.0935</v>
      </c>
      <c r="K51" s="10"/>
      <c r="L51" s="13"/>
      <c r="M51" s="3"/>
      <c r="N51" s="16"/>
      <c r="O51" s="16"/>
      <c r="P51" s="13">
        <v>40</v>
      </c>
      <c r="Q51" s="10" t="s">
        <v>80</v>
      </c>
      <c r="R51" s="10"/>
      <c r="S51" s="10">
        <v>5</v>
      </c>
      <c r="T51" s="10" t="s">
        <v>88</v>
      </c>
      <c r="U51" s="10"/>
      <c r="V51" s="10"/>
    </row>
    <row r="52" ht="16.5" spans="1:22">
      <c r="A52" s="10">
        <v>46</v>
      </c>
      <c r="B52" s="11">
        <v>2560</v>
      </c>
      <c r="C52" s="11">
        <f t="shared" si="8"/>
        <v>58820</v>
      </c>
      <c r="D52" s="12">
        <v>0.049</v>
      </c>
      <c r="E52" s="10"/>
      <c r="F52" s="13"/>
      <c r="G52" s="11">
        <v>96</v>
      </c>
      <c r="H52" s="11">
        <v>7500</v>
      </c>
      <c r="I52" s="11">
        <f t="shared" si="9"/>
        <v>311380</v>
      </c>
      <c r="J52" s="12">
        <v>0.094</v>
      </c>
      <c r="K52" s="10"/>
      <c r="L52" s="13"/>
      <c r="M52" s="3"/>
      <c r="N52" s="16"/>
      <c r="O52" s="16"/>
      <c r="P52" s="13">
        <v>50</v>
      </c>
      <c r="Q52" s="10" t="s">
        <v>16</v>
      </c>
      <c r="R52" s="10"/>
      <c r="S52" s="10">
        <v>6</v>
      </c>
      <c r="T52" s="10" t="s">
        <v>89</v>
      </c>
      <c r="U52" s="10"/>
      <c r="V52" s="10"/>
    </row>
    <row r="53" ht="16.5" spans="1:22">
      <c r="A53" s="10">
        <v>47</v>
      </c>
      <c r="B53" s="11">
        <v>2640</v>
      </c>
      <c r="C53" s="11">
        <f t="shared" si="8"/>
        <v>61460</v>
      </c>
      <c r="D53" s="12">
        <v>0.0495000000000001</v>
      </c>
      <c r="E53" s="10"/>
      <c r="F53" s="13"/>
      <c r="G53" s="11">
        <v>97</v>
      </c>
      <c r="H53" s="11">
        <v>7600</v>
      </c>
      <c r="I53" s="11">
        <f t="shared" si="9"/>
        <v>318980</v>
      </c>
      <c r="J53" s="12">
        <v>0.0945</v>
      </c>
      <c r="K53" s="10"/>
      <c r="L53" s="13"/>
      <c r="M53" s="3"/>
      <c r="N53" s="16"/>
      <c r="O53" s="16"/>
      <c r="P53" s="13">
        <v>60</v>
      </c>
      <c r="Q53" s="10" t="s">
        <v>33</v>
      </c>
      <c r="R53" s="10"/>
      <c r="S53" s="10">
        <v>7</v>
      </c>
      <c r="T53" s="10" t="s">
        <v>90</v>
      </c>
      <c r="U53" s="10"/>
      <c r="V53" s="10"/>
    </row>
    <row r="54" ht="16.5" spans="1:22">
      <c r="A54" s="10">
        <v>48</v>
      </c>
      <c r="B54" s="11">
        <v>2720</v>
      </c>
      <c r="C54" s="11">
        <f t="shared" si="8"/>
        <v>64180</v>
      </c>
      <c r="D54" s="12">
        <v>0.0500000000000001</v>
      </c>
      <c r="E54" s="10"/>
      <c r="F54" s="13"/>
      <c r="G54" s="11">
        <v>98</v>
      </c>
      <c r="H54" s="11">
        <v>7700</v>
      </c>
      <c r="I54" s="11">
        <f t="shared" si="9"/>
        <v>326680</v>
      </c>
      <c r="J54" s="12">
        <v>0.095</v>
      </c>
      <c r="K54" s="10"/>
      <c r="L54" s="13"/>
      <c r="M54" s="3"/>
      <c r="N54" s="16"/>
      <c r="O54" s="16"/>
      <c r="P54" s="13">
        <v>70</v>
      </c>
      <c r="Q54" s="10" t="s">
        <v>49</v>
      </c>
      <c r="R54" s="10"/>
      <c r="S54" s="10">
        <v>8</v>
      </c>
      <c r="T54" s="10" t="s">
        <v>91</v>
      </c>
      <c r="U54" s="10"/>
      <c r="V54" s="10"/>
    </row>
    <row r="55" ht="16.5" spans="1:22">
      <c r="A55" s="10">
        <v>49</v>
      </c>
      <c r="B55" s="11">
        <v>2800</v>
      </c>
      <c r="C55" s="11">
        <f t="shared" si="8"/>
        <v>66980</v>
      </c>
      <c r="D55" s="12">
        <v>0.0505000000000001</v>
      </c>
      <c r="E55" s="10"/>
      <c r="F55" s="13"/>
      <c r="G55" s="11">
        <v>99</v>
      </c>
      <c r="H55" s="11">
        <v>7800</v>
      </c>
      <c r="I55" s="11">
        <f t="shared" si="9"/>
        <v>334480</v>
      </c>
      <c r="J55" s="12">
        <v>0.0955</v>
      </c>
      <c r="K55" s="10"/>
      <c r="L55" s="13"/>
      <c r="M55" s="3"/>
      <c r="N55" s="16"/>
      <c r="O55" s="16"/>
      <c r="P55" s="13">
        <v>80</v>
      </c>
      <c r="Q55" s="10" t="s">
        <v>65</v>
      </c>
      <c r="R55" s="10"/>
      <c r="S55" s="10">
        <v>9</v>
      </c>
      <c r="T55" s="10" t="s">
        <v>92</v>
      </c>
      <c r="U55" s="10"/>
      <c r="V55" s="10"/>
    </row>
    <row r="56" ht="16.5" spans="1:22">
      <c r="A56" s="10">
        <v>50</v>
      </c>
      <c r="B56" s="11">
        <v>2900</v>
      </c>
      <c r="C56" s="11">
        <f t="shared" si="8"/>
        <v>69880</v>
      </c>
      <c r="D56" s="12">
        <v>0.0510000000000001</v>
      </c>
      <c r="E56" s="10"/>
      <c r="F56" s="13"/>
      <c r="G56" s="11">
        <v>100</v>
      </c>
      <c r="H56" s="11">
        <v>7900</v>
      </c>
      <c r="I56" s="11">
        <f t="shared" si="9"/>
        <v>342380</v>
      </c>
      <c r="J56" s="12">
        <v>0.096</v>
      </c>
      <c r="K56" s="10"/>
      <c r="L56" s="13"/>
      <c r="M56" s="3"/>
      <c r="N56" s="16"/>
      <c r="O56" s="16"/>
      <c r="P56" s="13">
        <v>90</v>
      </c>
      <c r="Q56" s="10" t="s">
        <v>81</v>
      </c>
      <c r="R56" s="10"/>
      <c r="S56" s="10">
        <v>10</v>
      </c>
      <c r="T56" s="10" t="s">
        <v>93</v>
      </c>
      <c r="U56" s="10"/>
      <c r="V56" s="10"/>
    </row>
    <row r="57" ht="16.5" spans="1:22">
      <c r="A57" s="10" t="s">
        <v>31</v>
      </c>
      <c r="B57" s="10"/>
      <c r="C57" s="10"/>
      <c r="D57" s="10"/>
      <c r="E57" s="10">
        <v>30</v>
      </c>
      <c r="F57" s="13" t="s">
        <v>16</v>
      </c>
      <c r="G57" s="10" t="s">
        <v>31</v>
      </c>
      <c r="H57" s="10"/>
      <c r="I57" s="10"/>
      <c r="J57" s="12">
        <v>0.1</v>
      </c>
      <c r="K57" s="10">
        <v>60</v>
      </c>
      <c r="L57" s="13" t="s">
        <v>94</v>
      </c>
      <c r="M57" s="3"/>
      <c r="N57" s="16"/>
      <c r="O57" s="16"/>
      <c r="P57" s="13">
        <v>100</v>
      </c>
      <c r="Q57" s="10" t="s">
        <v>94</v>
      </c>
      <c r="R57" s="10"/>
      <c r="S57" s="10">
        <v>11</v>
      </c>
      <c r="T57" s="10" t="s">
        <v>95</v>
      </c>
      <c r="U57" s="10"/>
      <c r="V57" s="10"/>
    </row>
    <row r="58" spans="1:22">
      <c r="A58" s="44" t="s">
        <v>96</v>
      </c>
      <c r="B58" s="44"/>
      <c r="C58" s="45"/>
      <c r="D58" s="45"/>
      <c r="E58" s="44" t="s">
        <v>97</v>
      </c>
      <c r="F58" s="44">
        <f>I56</f>
        <v>342380</v>
      </c>
      <c r="G58" s="45"/>
      <c r="H58" s="45"/>
      <c r="I58" s="44" t="s">
        <v>6</v>
      </c>
      <c r="J58" s="44">
        <f>E13+E24+E35+E46+E57+K13+K24+K35+K46+K57</f>
        <v>330</v>
      </c>
      <c r="K58" s="45"/>
      <c r="L58" s="45"/>
      <c r="M58" s="3"/>
      <c r="N58" s="44" t="s">
        <v>96</v>
      </c>
      <c r="O58" s="44"/>
      <c r="P58" s="45"/>
      <c r="Q58" s="44" t="s">
        <v>10</v>
      </c>
      <c r="R58" s="44">
        <f>S5+S16+S27+S38</f>
        <v>63000</v>
      </c>
      <c r="S58" s="3"/>
      <c r="T58" s="44" t="s">
        <v>11</v>
      </c>
      <c r="U58" s="44">
        <f>S10+S21+S32+S43</f>
        <v>5822400</v>
      </c>
      <c r="V58" s="3"/>
    </row>
    <row r="59" spans="1:22">
      <c r="A59" s="44"/>
      <c r="B59" s="44"/>
      <c r="C59" s="45"/>
      <c r="D59" s="45"/>
      <c r="E59" s="44"/>
      <c r="F59" s="44"/>
      <c r="G59" s="45"/>
      <c r="H59" s="45"/>
      <c r="I59" s="44"/>
      <c r="J59" s="44"/>
      <c r="K59" s="45"/>
      <c r="L59" s="45"/>
      <c r="M59" s="3"/>
      <c r="N59" s="44"/>
      <c r="O59" s="44"/>
      <c r="P59" s="45"/>
      <c r="Q59" s="44"/>
      <c r="R59" s="44"/>
      <c r="S59" s="3"/>
      <c r="T59" s="44"/>
      <c r="U59" s="44"/>
      <c r="V59" s="3"/>
    </row>
    <row r="60" ht="16.5" spans="1:22">
      <c r="A60" s="3"/>
      <c r="B60" s="3"/>
      <c r="C60" s="3"/>
      <c r="D60" s="3"/>
      <c r="E60" s="3"/>
      <c r="F60" s="46"/>
      <c r="G60" s="3"/>
      <c r="H60" s="3"/>
      <c r="I60" s="3"/>
      <c r="J60" s="3"/>
      <c r="K60" s="3"/>
      <c r="L60" s="46"/>
      <c r="M60" s="3"/>
      <c r="N60" s="3"/>
      <c r="O60" s="3"/>
      <c r="P60" s="3"/>
      <c r="Q60" s="3"/>
      <c r="R60" s="3"/>
      <c r="S60" s="3"/>
      <c r="T60" s="59"/>
      <c r="U60" s="59"/>
      <c r="V60" s="3"/>
    </row>
    <row r="140" ht="16.5" spans="1:22">
      <c r="A140" s="3"/>
      <c r="B140" s="3"/>
      <c r="C140" s="3"/>
      <c r="D140" s="3"/>
      <c r="E140" s="3"/>
      <c r="F140" s="46"/>
      <c r="G140" s="3"/>
      <c r="H140" s="3"/>
      <c r="I140" s="3"/>
      <c r="J140" s="3"/>
      <c r="K140" s="3"/>
      <c r="L140" s="46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200" ht="16.5" spans="1:22">
      <c r="A200" s="3"/>
      <c r="B200" s="3"/>
      <c r="C200" s="3"/>
      <c r="D200" s="3"/>
      <c r="E200" s="3"/>
      <c r="F200" s="46"/>
      <c r="G200" s="3"/>
      <c r="H200" s="3"/>
      <c r="I200" s="3"/>
      <c r="J200" s="3"/>
      <c r="K200" s="3"/>
      <c r="L200" s="46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ht="16.5" spans="1:22">
      <c r="A201" s="3"/>
      <c r="B201" s="3"/>
      <c r="C201" s="3"/>
      <c r="D201" s="3"/>
      <c r="E201" s="3"/>
      <c r="F201" s="46"/>
      <c r="G201" s="3"/>
      <c r="H201" s="3"/>
      <c r="I201" s="3"/>
      <c r="J201" s="3"/>
      <c r="K201" s="3"/>
      <c r="L201" s="46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61" ht="16.5" spans="1:22">
      <c r="A261" s="3"/>
      <c r="B261" s="3"/>
      <c r="C261" s="3"/>
      <c r="D261" s="3"/>
      <c r="E261" s="3"/>
      <c r="F261" s="46"/>
      <c r="G261" s="3"/>
      <c r="H261" s="3"/>
      <c r="I261" s="3"/>
      <c r="J261" s="3"/>
      <c r="K261" s="3"/>
      <c r="L261" s="46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321" ht="16.5" spans="1:22">
      <c r="A321" s="3"/>
      <c r="B321" s="3"/>
      <c r="C321" s="3"/>
      <c r="D321" s="3"/>
      <c r="E321" s="3"/>
      <c r="F321" s="46"/>
      <c r="G321" s="3"/>
      <c r="H321" s="3"/>
      <c r="I321" s="3"/>
      <c r="J321" s="3"/>
      <c r="K321" s="3"/>
      <c r="L321" s="46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ht="16.5" spans="1:22">
      <c r="A322" s="3"/>
      <c r="B322" s="3"/>
      <c r="C322" s="3"/>
      <c r="D322" s="3"/>
      <c r="E322" s="3"/>
      <c r="F322" s="46"/>
      <c r="G322" s="3"/>
      <c r="H322" s="3"/>
      <c r="I322" s="3"/>
      <c r="J322" s="3"/>
      <c r="K322" s="3"/>
      <c r="L322" s="46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400" ht="16.5" spans="1:22">
      <c r="A400" s="3"/>
      <c r="B400" s="3"/>
      <c r="C400" s="3"/>
      <c r="D400" s="3"/>
      <c r="E400" s="3"/>
      <c r="F400" s="46"/>
      <c r="G400" s="3"/>
      <c r="H400" s="3"/>
      <c r="I400" s="3"/>
      <c r="J400" s="3"/>
      <c r="K400" s="3"/>
      <c r="L400" s="46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ht="16.5" spans="1:22">
      <c r="A401" s="3"/>
      <c r="B401" s="3"/>
      <c r="C401" s="3"/>
      <c r="D401" s="3"/>
      <c r="E401" s="3"/>
      <c r="F401" s="46"/>
      <c r="G401" s="3"/>
      <c r="H401" s="3"/>
      <c r="I401" s="3"/>
      <c r="J401" s="3"/>
      <c r="K401" s="3"/>
      <c r="L401" s="46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ht="16.5" spans="1:22">
      <c r="A402" s="3"/>
      <c r="B402" s="3"/>
      <c r="C402" s="3"/>
      <c r="D402" s="3"/>
      <c r="E402" s="3"/>
      <c r="F402" s="46"/>
      <c r="G402" s="3"/>
      <c r="H402" s="3"/>
      <c r="I402" s="3"/>
      <c r="J402" s="3"/>
      <c r="K402" s="3"/>
      <c r="L402" s="46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ht="16.5" spans="1:22">
      <c r="A403" s="3"/>
      <c r="B403" s="3"/>
      <c r="C403" s="3"/>
      <c r="D403" s="3"/>
      <c r="E403" s="3"/>
      <c r="F403" s="46"/>
      <c r="G403" s="3"/>
      <c r="H403" s="3"/>
      <c r="I403" s="3"/>
      <c r="J403" s="3"/>
      <c r="K403" s="3"/>
      <c r="L403" s="46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83" ht="16.5" spans="1:22">
      <c r="A483" s="3"/>
      <c r="B483" s="3"/>
      <c r="C483" s="3"/>
      <c r="D483" s="3"/>
      <c r="E483" s="3"/>
      <c r="F483" s="46"/>
      <c r="G483" s="3"/>
      <c r="H483" s="3"/>
      <c r="I483" s="3"/>
      <c r="J483" s="3"/>
      <c r="K483" s="3"/>
      <c r="L483" s="46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ht="16.5" spans="1:22">
      <c r="A484" s="3"/>
      <c r="B484" s="3"/>
      <c r="C484" s="3"/>
      <c r="D484" s="3"/>
      <c r="E484" s="3"/>
      <c r="F484" s="46"/>
      <c r="G484" s="3"/>
      <c r="H484" s="3"/>
      <c r="I484" s="3"/>
      <c r="J484" s="3"/>
      <c r="K484" s="3"/>
      <c r="L484" s="46"/>
      <c r="M484" s="3"/>
      <c r="N484" s="3"/>
      <c r="O484" s="3"/>
      <c r="P484" s="3"/>
      <c r="Q484" s="3"/>
      <c r="R484" s="3"/>
      <c r="S484" s="3"/>
      <c r="T484" s="3"/>
      <c r="U484" s="3"/>
      <c r="V484" s="3"/>
    </row>
  </sheetData>
  <mergeCells count="131">
    <mergeCell ref="A1:B1"/>
    <mergeCell ref="C1:L1"/>
    <mergeCell ref="N1:O1"/>
    <mergeCell ref="P1:V1"/>
    <mergeCell ref="T2:V2"/>
    <mergeCell ref="T3:V3"/>
    <mergeCell ref="T4:V4"/>
    <mergeCell ref="T5:V5"/>
    <mergeCell ref="T6:V6"/>
    <mergeCell ref="T7:V7"/>
    <mergeCell ref="T8:V8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N46:O46"/>
    <mergeCell ref="Q46:R46"/>
    <mergeCell ref="T46:V46"/>
    <mergeCell ref="Q47:R47"/>
    <mergeCell ref="T47:V47"/>
    <mergeCell ref="Q48:R48"/>
    <mergeCell ref="T48:V48"/>
    <mergeCell ref="Q49:R49"/>
    <mergeCell ref="T49:V49"/>
    <mergeCell ref="Q50:R50"/>
    <mergeCell ref="T50:V50"/>
    <mergeCell ref="Q51:R51"/>
    <mergeCell ref="T51:V51"/>
    <mergeCell ref="Q52:R52"/>
    <mergeCell ref="T52:V52"/>
    <mergeCell ref="Q53:R53"/>
    <mergeCell ref="T53:V53"/>
    <mergeCell ref="Q54:R54"/>
    <mergeCell ref="T54:V54"/>
    <mergeCell ref="Q55:R55"/>
    <mergeCell ref="T55:V55"/>
    <mergeCell ref="Q56:R56"/>
    <mergeCell ref="T56:V56"/>
    <mergeCell ref="Q57:R57"/>
    <mergeCell ref="T57:V57"/>
    <mergeCell ref="E3:E12"/>
    <mergeCell ref="E14:E23"/>
    <mergeCell ref="E25:E34"/>
    <mergeCell ref="E36:E45"/>
    <mergeCell ref="E47:E56"/>
    <mergeCell ref="E58:E59"/>
    <mergeCell ref="F3:F12"/>
    <mergeCell ref="F13:F23"/>
    <mergeCell ref="F24:F34"/>
    <mergeCell ref="F35:F45"/>
    <mergeCell ref="F46:F56"/>
    <mergeCell ref="F58:F59"/>
    <mergeCell ref="I58:I59"/>
    <mergeCell ref="J58:J59"/>
    <mergeCell ref="K3:K12"/>
    <mergeCell ref="K14:K23"/>
    <mergeCell ref="K25:K34"/>
    <mergeCell ref="K36:K45"/>
    <mergeCell ref="K47:K56"/>
    <mergeCell ref="L3:L12"/>
    <mergeCell ref="L13:L23"/>
    <mergeCell ref="L24:L34"/>
    <mergeCell ref="L35:L45"/>
    <mergeCell ref="L46:L56"/>
    <mergeCell ref="M2:M59"/>
    <mergeCell ref="N3:N12"/>
    <mergeCell ref="N14:N23"/>
    <mergeCell ref="N25:N34"/>
    <mergeCell ref="N36:N45"/>
    <mergeCell ref="P58:P59"/>
    <mergeCell ref="Q58:Q59"/>
    <mergeCell ref="R58:R59"/>
    <mergeCell ref="S3:S4"/>
    <mergeCell ref="S5:S7"/>
    <mergeCell ref="S8:S9"/>
    <mergeCell ref="S10:S12"/>
    <mergeCell ref="S14:S15"/>
    <mergeCell ref="S16:S18"/>
    <mergeCell ref="S19:S20"/>
    <mergeCell ref="S21:S23"/>
    <mergeCell ref="S25:S26"/>
    <mergeCell ref="S27:S29"/>
    <mergeCell ref="S30:S31"/>
    <mergeCell ref="S32:S34"/>
    <mergeCell ref="S36:S37"/>
    <mergeCell ref="S38:S40"/>
    <mergeCell ref="S41:S42"/>
    <mergeCell ref="S43:S45"/>
    <mergeCell ref="S58:S59"/>
    <mergeCell ref="T58:T59"/>
    <mergeCell ref="U58:U59"/>
    <mergeCell ref="V58:V59"/>
    <mergeCell ref="N47:O57"/>
    <mergeCell ref="A58:B59"/>
    <mergeCell ref="C58:D59"/>
    <mergeCell ref="G58:H59"/>
    <mergeCell ref="K58:L59"/>
    <mergeCell ref="N58:O5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9"/>
  <sheetViews>
    <sheetView workbookViewId="0">
      <selection activeCell="A1" sqref="A1:V79"/>
    </sheetView>
  </sheetViews>
  <sheetFormatPr defaultColWidth="8.72727272727273" defaultRowHeight="14"/>
  <sheetData>
    <row r="1" ht="36.5" spans="1:22">
      <c r="A1" s="1" t="s">
        <v>0</v>
      </c>
      <c r="B1" s="1"/>
      <c r="C1" s="2" t="s">
        <v>98</v>
      </c>
      <c r="D1" s="2"/>
      <c r="E1" s="2"/>
      <c r="F1" s="2"/>
      <c r="G1" s="2"/>
      <c r="H1" s="2"/>
      <c r="I1" s="2"/>
      <c r="J1" s="2"/>
      <c r="K1" s="2"/>
      <c r="L1" s="2"/>
      <c r="M1" s="2"/>
      <c r="N1" s="1" t="s">
        <v>0</v>
      </c>
      <c r="O1" s="1"/>
      <c r="P1" s="2" t="s">
        <v>99</v>
      </c>
      <c r="Q1" s="2"/>
      <c r="R1" s="2"/>
      <c r="S1" s="2"/>
      <c r="T1" s="2"/>
      <c r="U1" s="2"/>
      <c r="V1" s="2"/>
    </row>
    <row r="2" ht="66" spans="1:22">
      <c r="A2" s="20" t="s">
        <v>2</v>
      </c>
      <c r="B2" s="20" t="s">
        <v>3</v>
      </c>
      <c r="C2" s="20" t="s">
        <v>4</v>
      </c>
      <c r="D2" s="53" t="s">
        <v>100</v>
      </c>
      <c r="E2" s="20" t="s">
        <v>6</v>
      </c>
      <c r="F2" s="20" t="s">
        <v>7</v>
      </c>
      <c r="G2" s="20" t="s">
        <v>2</v>
      </c>
      <c r="H2" s="20" t="s">
        <v>3</v>
      </c>
      <c r="I2" s="20" t="s">
        <v>4</v>
      </c>
      <c r="J2" s="53" t="s">
        <v>100</v>
      </c>
      <c r="K2" s="20" t="s">
        <v>6</v>
      </c>
      <c r="L2" s="20" t="s">
        <v>7</v>
      </c>
      <c r="M2" s="3"/>
      <c r="N2" s="7" t="s">
        <v>8</v>
      </c>
      <c r="O2" s="7" t="s">
        <v>9</v>
      </c>
      <c r="P2" s="20" t="s">
        <v>10</v>
      </c>
      <c r="Q2" s="20" t="s">
        <v>11</v>
      </c>
      <c r="R2" s="20" t="s">
        <v>12</v>
      </c>
      <c r="S2" s="20" t="s">
        <v>13</v>
      </c>
      <c r="T2" s="20" t="s">
        <v>14</v>
      </c>
      <c r="U2" s="20"/>
      <c r="V2" s="20"/>
    </row>
    <row r="3" ht="16.5" spans="1:22">
      <c r="A3" s="10">
        <v>1</v>
      </c>
      <c r="B3" s="11">
        <v>1000</v>
      </c>
      <c r="C3" s="10">
        <f>B3</f>
        <v>1000</v>
      </c>
      <c r="D3" s="12">
        <v>0.0158</v>
      </c>
      <c r="E3" s="10"/>
      <c r="F3" s="13" t="s">
        <v>15</v>
      </c>
      <c r="G3" s="10">
        <v>51</v>
      </c>
      <c r="H3" s="11">
        <v>7500</v>
      </c>
      <c r="I3" s="11">
        <f>C56+H3</f>
        <v>180700</v>
      </c>
      <c r="J3" s="12">
        <v>0.0833</v>
      </c>
      <c r="K3" s="10"/>
      <c r="L3" s="13" t="s">
        <v>16</v>
      </c>
      <c r="M3" s="3"/>
      <c r="N3" s="57" t="s">
        <v>101</v>
      </c>
      <c r="O3" s="13">
        <v>1</v>
      </c>
      <c r="P3" s="10"/>
      <c r="Q3" s="10"/>
      <c r="R3" s="10"/>
      <c r="S3" s="10" t="s">
        <v>10</v>
      </c>
      <c r="T3" s="10" t="s">
        <v>102</v>
      </c>
      <c r="U3" s="10"/>
      <c r="V3" s="10"/>
    </row>
    <row r="4" ht="16.5" spans="1:22">
      <c r="A4" s="10">
        <v>2</v>
      </c>
      <c r="B4" s="11">
        <v>1000</v>
      </c>
      <c r="C4" s="11">
        <f t="shared" ref="C4:C12" si="0">B4+C3</f>
        <v>2000</v>
      </c>
      <c r="D4" s="12">
        <v>0.0165</v>
      </c>
      <c r="E4" s="10"/>
      <c r="F4" s="13"/>
      <c r="G4" s="11">
        <v>52</v>
      </c>
      <c r="H4" s="11">
        <v>7750</v>
      </c>
      <c r="I4" s="11">
        <f t="shared" ref="I4:I12" si="1">H4+I3</f>
        <v>188450</v>
      </c>
      <c r="J4" s="12">
        <v>0.084</v>
      </c>
      <c r="K4" s="10"/>
      <c r="L4" s="13"/>
      <c r="M4" s="3"/>
      <c r="N4" s="30"/>
      <c r="O4" s="13">
        <v>2</v>
      </c>
      <c r="P4" s="11">
        <v>300</v>
      </c>
      <c r="Q4" s="11">
        <v>25800</v>
      </c>
      <c r="R4" s="10"/>
      <c r="S4" s="10"/>
      <c r="T4" s="10" t="s">
        <v>103</v>
      </c>
      <c r="U4" s="10"/>
      <c r="V4" s="10"/>
    </row>
    <row r="5" ht="16.5" spans="1:22">
      <c r="A5" s="10">
        <v>3</v>
      </c>
      <c r="B5" s="11">
        <v>1050</v>
      </c>
      <c r="C5" s="11">
        <f t="shared" si="0"/>
        <v>3050</v>
      </c>
      <c r="D5" s="12">
        <v>0.0173</v>
      </c>
      <c r="E5" s="10"/>
      <c r="F5" s="13"/>
      <c r="G5" s="11">
        <v>53</v>
      </c>
      <c r="H5" s="11">
        <v>8000</v>
      </c>
      <c r="I5" s="11">
        <f t="shared" si="1"/>
        <v>196450</v>
      </c>
      <c r="J5" s="12">
        <v>0.0848</v>
      </c>
      <c r="K5" s="10"/>
      <c r="L5" s="13"/>
      <c r="M5" s="3"/>
      <c r="N5" s="30"/>
      <c r="O5" s="13">
        <v>3</v>
      </c>
      <c r="P5" s="11">
        <v>600</v>
      </c>
      <c r="Q5" s="11">
        <v>51600</v>
      </c>
      <c r="R5" s="10"/>
      <c r="S5" s="17">
        <f>SUM(P4:P12)</f>
        <v>13500</v>
      </c>
      <c r="T5" s="10" t="s">
        <v>104</v>
      </c>
      <c r="U5" s="10"/>
      <c r="V5" s="10"/>
    </row>
    <row r="6" ht="16.5" spans="1:22">
      <c r="A6" s="10">
        <v>4</v>
      </c>
      <c r="B6" s="11">
        <v>1100</v>
      </c>
      <c r="C6" s="11">
        <f t="shared" si="0"/>
        <v>4150</v>
      </c>
      <c r="D6" s="12">
        <v>0.018</v>
      </c>
      <c r="E6" s="10"/>
      <c r="F6" s="13"/>
      <c r="G6" s="11">
        <v>54</v>
      </c>
      <c r="H6" s="11">
        <v>8250</v>
      </c>
      <c r="I6" s="11">
        <f t="shared" si="1"/>
        <v>204700</v>
      </c>
      <c r="J6" s="12">
        <v>0.0855333333333333</v>
      </c>
      <c r="K6" s="10"/>
      <c r="L6" s="13"/>
      <c r="M6" s="3"/>
      <c r="N6" s="30"/>
      <c r="O6" s="13">
        <v>4</v>
      </c>
      <c r="P6" s="11">
        <v>900</v>
      </c>
      <c r="Q6" s="11">
        <v>77400</v>
      </c>
      <c r="R6" s="10"/>
      <c r="S6" s="18"/>
      <c r="T6" s="10" t="s">
        <v>105</v>
      </c>
      <c r="U6" s="10"/>
      <c r="V6" s="10"/>
    </row>
    <row r="7" ht="16.5" spans="1:22">
      <c r="A7" s="10">
        <v>5</v>
      </c>
      <c r="B7" s="11">
        <v>1150</v>
      </c>
      <c r="C7" s="11">
        <f t="shared" si="0"/>
        <v>5300</v>
      </c>
      <c r="D7" s="12">
        <v>0.0188</v>
      </c>
      <c r="E7" s="10"/>
      <c r="F7" s="13"/>
      <c r="G7" s="11">
        <v>55</v>
      </c>
      <c r="H7" s="11">
        <v>8500</v>
      </c>
      <c r="I7" s="11">
        <f t="shared" si="1"/>
        <v>213200</v>
      </c>
      <c r="J7" s="12">
        <v>0.0862833333333333</v>
      </c>
      <c r="K7" s="10"/>
      <c r="L7" s="13"/>
      <c r="M7" s="3"/>
      <c r="N7" s="30"/>
      <c r="O7" s="13">
        <v>5</v>
      </c>
      <c r="P7" s="11">
        <v>1200</v>
      </c>
      <c r="Q7" s="11">
        <v>103200</v>
      </c>
      <c r="R7" s="10" t="s">
        <v>22</v>
      </c>
      <c r="S7" s="19"/>
      <c r="T7" s="10" t="s">
        <v>106</v>
      </c>
      <c r="U7" s="10"/>
      <c r="V7" s="10"/>
    </row>
    <row r="8" ht="16.5" spans="1:22">
      <c r="A8" s="10">
        <v>6</v>
      </c>
      <c r="B8" s="11">
        <v>1200</v>
      </c>
      <c r="C8" s="11">
        <f t="shared" si="0"/>
        <v>6500</v>
      </c>
      <c r="D8" s="12">
        <v>0.0195</v>
      </c>
      <c r="E8" s="10"/>
      <c r="F8" s="13"/>
      <c r="G8" s="11">
        <v>56</v>
      </c>
      <c r="H8" s="11">
        <v>8750</v>
      </c>
      <c r="I8" s="11">
        <f t="shared" si="1"/>
        <v>221950</v>
      </c>
      <c r="J8" s="12">
        <v>0.0870333333333333</v>
      </c>
      <c r="K8" s="10"/>
      <c r="L8" s="13"/>
      <c r="M8" s="3"/>
      <c r="N8" s="30"/>
      <c r="O8" s="13">
        <v>6</v>
      </c>
      <c r="P8" s="11">
        <v>1500</v>
      </c>
      <c r="Q8" s="11">
        <v>129600</v>
      </c>
      <c r="R8" s="10"/>
      <c r="S8" s="10" t="s">
        <v>11</v>
      </c>
      <c r="T8" s="10" t="s">
        <v>107</v>
      </c>
      <c r="U8" s="10"/>
      <c r="V8" s="10"/>
    </row>
    <row r="9" ht="16.5" spans="1:22">
      <c r="A9" s="10">
        <v>7</v>
      </c>
      <c r="B9" s="11">
        <v>1300</v>
      </c>
      <c r="C9" s="11">
        <f t="shared" si="0"/>
        <v>7800</v>
      </c>
      <c r="D9" s="12">
        <v>0.0203</v>
      </c>
      <c r="E9" s="10"/>
      <c r="F9" s="13"/>
      <c r="G9" s="11">
        <v>57</v>
      </c>
      <c r="H9" s="11">
        <v>9000</v>
      </c>
      <c r="I9" s="11">
        <f t="shared" si="1"/>
        <v>230950</v>
      </c>
      <c r="J9" s="12">
        <v>0.0877833333333333</v>
      </c>
      <c r="K9" s="10"/>
      <c r="L9" s="13"/>
      <c r="M9" s="3"/>
      <c r="N9" s="30"/>
      <c r="O9" s="13">
        <v>7</v>
      </c>
      <c r="P9" s="11">
        <v>1800</v>
      </c>
      <c r="Q9" s="11">
        <v>155400</v>
      </c>
      <c r="R9" s="10"/>
      <c r="S9" s="10"/>
      <c r="T9" s="10" t="s">
        <v>108</v>
      </c>
      <c r="U9" s="10"/>
      <c r="V9" s="10"/>
    </row>
    <row r="10" ht="16.5" spans="1:22">
      <c r="A10" s="10">
        <v>8</v>
      </c>
      <c r="B10" s="11">
        <v>1400</v>
      </c>
      <c r="C10" s="11">
        <f t="shared" si="0"/>
        <v>9200</v>
      </c>
      <c r="D10" s="12">
        <v>0.021</v>
      </c>
      <c r="E10" s="10"/>
      <c r="F10" s="13"/>
      <c r="G10" s="11">
        <v>58</v>
      </c>
      <c r="H10" s="11">
        <v>9250</v>
      </c>
      <c r="I10" s="11">
        <f t="shared" si="1"/>
        <v>240200</v>
      </c>
      <c r="J10" s="12">
        <v>0.0885333333333333</v>
      </c>
      <c r="K10" s="10"/>
      <c r="L10" s="13"/>
      <c r="M10" s="3"/>
      <c r="N10" s="30"/>
      <c r="O10" s="13">
        <v>8</v>
      </c>
      <c r="P10" s="11">
        <v>2100</v>
      </c>
      <c r="Q10" s="11">
        <v>181200</v>
      </c>
      <c r="R10" s="10" t="s">
        <v>26</v>
      </c>
      <c r="S10" s="17">
        <f>SUM(Q4:Q12)</f>
        <v>1164000</v>
      </c>
      <c r="T10" s="10" t="s">
        <v>109</v>
      </c>
      <c r="U10" s="10"/>
      <c r="V10" s="10"/>
    </row>
    <row r="11" ht="16.5" spans="1:22">
      <c r="A11" s="10">
        <v>9</v>
      </c>
      <c r="B11" s="11">
        <v>1500</v>
      </c>
      <c r="C11" s="11">
        <f t="shared" si="0"/>
        <v>10700</v>
      </c>
      <c r="D11" s="12">
        <v>0.0218</v>
      </c>
      <c r="E11" s="10"/>
      <c r="F11" s="13"/>
      <c r="G11" s="11">
        <v>59</v>
      </c>
      <c r="H11" s="11">
        <v>9500</v>
      </c>
      <c r="I11" s="11">
        <f t="shared" si="1"/>
        <v>249700</v>
      </c>
      <c r="J11" s="12">
        <v>0.0892833333333333</v>
      </c>
      <c r="K11" s="10"/>
      <c r="L11" s="13"/>
      <c r="M11" s="3"/>
      <c r="N11" s="30"/>
      <c r="O11" s="13">
        <v>9</v>
      </c>
      <c r="P11" s="11">
        <v>2400</v>
      </c>
      <c r="Q11" s="11">
        <v>207000</v>
      </c>
      <c r="R11" s="10"/>
      <c r="S11" s="18"/>
      <c r="T11" s="10" t="s">
        <v>110</v>
      </c>
      <c r="U11" s="10"/>
      <c r="V11" s="10"/>
    </row>
    <row r="12" ht="16.5" spans="1:22">
      <c r="A12" s="10">
        <v>10</v>
      </c>
      <c r="B12" s="11">
        <v>1600</v>
      </c>
      <c r="C12" s="11">
        <f t="shared" si="0"/>
        <v>12300</v>
      </c>
      <c r="D12" s="12">
        <v>0.0225</v>
      </c>
      <c r="E12" s="10"/>
      <c r="F12" s="13"/>
      <c r="G12" s="11">
        <v>60</v>
      </c>
      <c r="H12" s="11">
        <v>9750</v>
      </c>
      <c r="I12" s="11">
        <f t="shared" si="1"/>
        <v>259450</v>
      </c>
      <c r="J12" s="12">
        <v>0.09</v>
      </c>
      <c r="K12" s="10"/>
      <c r="L12" s="13"/>
      <c r="M12" s="3"/>
      <c r="N12" s="36"/>
      <c r="O12" s="13">
        <v>10</v>
      </c>
      <c r="P12" s="11">
        <v>2700</v>
      </c>
      <c r="Q12" s="11">
        <v>232800</v>
      </c>
      <c r="R12" s="10" t="s">
        <v>29</v>
      </c>
      <c r="S12" s="19"/>
      <c r="T12" s="10" t="s">
        <v>111</v>
      </c>
      <c r="U12" s="10"/>
      <c r="V12" s="10"/>
    </row>
    <row r="13" ht="16.5" spans="1:22">
      <c r="A13" s="10" t="s">
        <v>31</v>
      </c>
      <c r="B13" s="11"/>
      <c r="C13" s="11"/>
      <c r="D13" s="12">
        <v>0.0285</v>
      </c>
      <c r="E13" s="10">
        <v>12</v>
      </c>
      <c r="F13" s="13" t="s">
        <v>32</v>
      </c>
      <c r="G13" s="11" t="s">
        <v>31</v>
      </c>
      <c r="H13" s="11"/>
      <c r="I13" s="11"/>
      <c r="J13" s="12">
        <v>0.096</v>
      </c>
      <c r="K13" s="10">
        <v>72</v>
      </c>
      <c r="L13" s="13" t="s">
        <v>33</v>
      </c>
      <c r="M13" s="3"/>
      <c r="N13" s="7" t="s">
        <v>8</v>
      </c>
      <c r="O13" s="20" t="s">
        <v>9</v>
      </c>
      <c r="P13" s="20" t="s">
        <v>10</v>
      </c>
      <c r="Q13" s="20" t="s">
        <v>11</v>
      </c>
      <c r="R13" s="20" t="s">
        <v>12</v>
      </c>
      <c r="S13" s="20" t="s">
        <v>13</v>
      </c>
      <c r="T13" s="20" t="s">
        <v>14</v>
      </c>
      <c r="U13" s="20"/>
      <c r="V13" s="20"/>
    </row>
    <row r="14" ht="16.5" spans="1:22">
      <c r="A14" s="10">
        <v>11</v>
      </c>
      <c r="B14" s="11">
        <v>1700</v>
      </c>
      <c r="C14" s="11">
        <f>B14+C12</f>
        <v>14000</v>
      </c>
      <c r="D14" s="12">
        <v>0.0293</v>
      </c>
      <c r="E14" s="10"/>
      <c r="F14" s="13"/>
      <c r="G14" s="11">
        <v>61</v>
      </c>
      <c r="H14" s="11">
        <v>10000</v>
      </c>
      <c r="I14" s="11">
        <f>H14+I12</f>
        <v>269450</v>
      </c>
      <c r="J14" s="12">
        <v>0.0968</v>
      </c>
      <c r="K14" s="10"/>
      <c r="L14" s="13"/>
      <c r="M14" s="3"/>
      <c r="N14" s="57" t="s">
        <v>112</v>
      </c>
      <c r="O14" s="13">
        <v>1</v>
      </c>
      <c r="P14" s="10"/>
      <c r="Q14" s="10"/>
      <c r="R14" s="10"/>
      <c r="S14" s="10" t="s">
        <v>10</v>
      </c>
      <c r="T14" s="10" t="s">
        <v>113</v>
      </c>
      <c r="U14" s="10"/>
      <c r="V14" s="10"/>
    </row>
    <row r="15" ht="16.5" spans="1:22">
      <c r="A15" s="10">
        <v>12</v>
      </c>
      <c r="B15" s="11">
        <v>1800</v>
      </c>
      <c r="C15" s="11">
        <f t="shared" ref="C15:C23" si="2">B15+C14</f>
        <v>15800</v>
      </c>
      <c r="D15" s="12">
        <v>0.03</v>
      </c>
      <c r="E15" s="10"/>
      <c r="F15" s="13"/>
      <c r="G15" s="11">
        <v>62</v>
      </c>
      <c r="H15" s="11">
        <v>10250</v>
      </c>
      <c r="I15" s="11">
        <f t="shared" ref="I15:I23" si="3">H15+I14</f>
        <v>279700</v>
      </c>
      <c r="J15" s="12">
        <v>0.0975</v>
      </c>
      <c r="K15" s="10"/>
      <c r="L15" s="13"/>
      <c r="M15" s="3"/>
      <c r="N15" s="30"/>
      <c r="O15" s="13">
        <v>2</v>
      </c>
      <c r="P15" s="11">
        <v>500</v>
      </c>
      <c r="Q15" s="11">
        <v>53400</v>
      </c>
      <c r="R15" s="10"/>
      <c r="S15" s="10"/>
      <c r="T15" s="10" t="s">
        <v>114</v>
      </c>
      <c r="U15" s="10"/>
      <c r="V15" s="10"/>
    </row>
    <row r="16" ht="16.5" spans="1:22">
      <c r="A16" s="10">
        <v>13</v>
      </c>
      <c r="B16" s="11">
        <v>1900</v>
      </c>
      <c r="C16" s="11">
        <f t="shared" si="2"/>
        <v>17700</v>
      </c>
      <c r="D16" s="12">
        <v>0.0308</v>
      </c>
      <c r="E16" s="10"/>
      <c r="F16" s="13"/>
      <c r="G16" s="11">
        <v>63</v>
      </c>
      <c r="H16" s="11">
        <v>10500</v>
      </c>
      <c r="I16" s="11">
        <f t="shared" si="3"/>
        <v>290200</v>
      </c>
      <c r="J16" s="12">
        <v>0.0983</v>
      </c>
      <c r="K16" s="10"/>
      <c r="L16" s="13"/>
      <c r="M16" s="3"/>
      <c r="N16" s="30"/>
      <c r="O16" s="13">
        <v>3</v>
      </c>
      <c r="P16" s="11">
        <v>1000</v>
      </c>
      <c r="Q16" s="11">
        <v>107400</v>
      </c>
      <c r="R16" s="10"/>
      <c r="S16" s="17">
        <f>SUM(P15:P23)</f>
        <v>22500</v>
      </c>
      <c r="T16" s="10" t="s">
        <v>115</v>
      </c>
      <c r="U16" s="10"/>
      <c r="V16" s="10"/>
    </row>
    <row r="17" ht="16.5" spans="1:22">
      <c r="A17" s="10">
        <v>14</v>
      </c>
      <c r="B17" s="11">
        <v>2000</v>
      </c>
      <c r="C17" s="11">
        <f t="shared" si="2"/>
        <v>19700</v>
      </c>
      <c r="D17" s="12">
        <v>0.0315333333333333</v>
      </c>
      <c r="E17" s="10"/>
      <c r="F17" s="13"/>
      <c r="G17" s="11">
        <v>64</v>
      </c>
      <c r="H17" s="11">
        <v>10750</v>
      </c>
      <c r="I17" s="11">
        <f t="shared" si="3"/>
        <v>300950</v>
      </c>
      <c r="J17" s="12">
        <v>0.0990333333333333</v>
      </c>
      <c r="K17" s="10"/>
      <c r="L17" s="13"/>
      <c r="M17" s="3"/>
      <c r="N17" s="30"/>
      <c r="O17" s="13">
        <v>4</v>
      </c>
      <c r="P17" s="11">
        <v>1500</v>
      </c>
      <c r="Q17" s="11">
        <v>160800</v>
      </c>
      <c r="R17" s="10"/>
      <c r="S17" s="18"/>
      <c r="T17" s="10" t="s">
        <v>116</v>
      </c>
      <c r="U17" s="10"/>
      <c r="V17" s="10"/>
    </row>
    <row r="18" ht="16.5" spans="1:22">
      <c r="A18" s="10">
        <v>15</v>
      </c>
      <c r="B18" s="11">
        <v>2100</v>
      </c>
      <c r="C18" s="11">
        <f t="shared" si="2"/>
        <v>21800</v>
      </c>
      <c r="D18" s="12">
        <v>0.0322833333333333</v>
      </c>
      <c r="E18" s="10"/>
      <c r="F18" s="13"/>
      <c r="G18" s="11">
        <v>65</v>
      </c>
      <c r="H18" s="11">
        <v>11000</v>
      </c>
      <c r="I18" s="11">
        <f t="shared" si="3"/>
        <v>311950</v>
      </c>
      <c r="J18" s="12">
        <v>0.0997833333333333</v>
      </c>
      <c r="K18" s="10"/>
      <c r="L18" s="13"/>
      <c r="M18" s="3"/>
      <c r="N18" s="30"/>
      <c r="O18" s="13">
        <v>5</v>
      </c>
      <c r="P18" s="11">
        <v>2000</v>
      </c>
      <c r="Q18" s="11">
        <v>214800</v>
      </c>
      <c r="R18" s="10" t="s">
        <v>39</v>
      </c>
      <c r="S18" s="19"/>
      <c r="T18" s="10" t="s">
        <v>117</v>
      </c>
      <c r="U18" s="10"/>
      <c r="V18" s="10"/>
    </row>
    <row r="19" ht="16.5" spans="1:22">
      <c r="A19" s="10">
        <v>16</v>
      </c>
      <c r="B19" s="11">
        <v>2200</v>
      </c>
      <c r="C19" s="11">
        <f t="shared" si="2"/>
        <v>24000</v>
      </c>
      <c r="D19" s="12">
        <v>0.0330333333333333</v>
      </c>
      <c r="E19" s="10"/>
      <c r="F19" s="13"/>
      <c r="G19" s="11">
        <v>66</v>
      </c>
      <c r="H19" s="11">
        <v>11250</v>
      </c>
      <c r="I19" s="11">
        <f t="shared" si="3"/>
        <v>323200</v>
      </c>
      <c r="J19" s="12">
        <v>0.100533333333333</v>
      </c>
      <c r="K19" s="10"/>
      <c r="L19" s="13"/>
      <c r="M19" s="3"/>
      <c r="N19" s="30"/>
      <c r="O19" s="13">
        <v>6</v>
      </c>
      <c r="P19" s="11">
        <v>2500</v>
      </c>
      <c r="Q19" s="11">
        <v>268800</v>
      </c>
      <c r="R19" s="10"/>
      <c r="S19" s="10" t="s">
        <v>11</v>
      </c>
      <c r="T19" s="10" t="s">
        <v>118</v>
      </c>
      <c r="U19" s="10"/>
      <c r="V19" s="10"/>
    </row>
    <row r="20" ht="16.5" spans="1:22">
      <c r="A20" s="10">
        <v>17</v>
      </c>
      <c r="B20" s="11">
        <v>2300</v>
      </c>
      <c r="C20" s="11">
        <f t="shared" si="2"/>
        <v>26300</v>
      </c>
      <c r="D20" s="12">
        <v>0.0337833333333333</v>
      </c>
      <c r="E20" s="10"/>
      <c r="F20" s="13"/>
      <c r="G20" s="11">
        <v>67</v>
      </c>
      <c r="H20" s="11">
        <v>11500</v>
      </c>
      <c r="I20" s="11">
        <f t="shared" si="3"/>
        <v>334700</v>
      </c>
      <c r="J20" s="12">
        <v>0.101283333333333</v>
      </c>
      <c r="K20" s="10"/>
      <c r="L20" s="13"/>
      <c r="M20" s="3"/>
      <c r="N20" s="30"/>
      <c r="O20" s="13">
        <v>7</v>
      </c>
      <c r="P20" s="11">
        <v>3000</v>
      </c>
      <c r="Q20" s="11">
        <v>322000</v>
      </c>
      <c r="R20" s="10"/>
      <c r="S20" s="10"/>
      <c r="T20" s="10" t="s">
        <v>119</v>
      </c>
      <c r="U20" s="10"/>
      <c r="V20" s="10"/>
    </row>
    <row r="21" ht="16.5" spans="1:22">
      <c r="A21" s="10">
        <v>18</v>
      </c>
      <c r="B21" s="11">
        <v>2400</v>
      </c>
      <c r="C21" s="11">
        <f t="shared" si="2"/>
        <v>28700</v>
      </c>
      <c r="D21" s="12">
        <v>0.0345333333333333</v>
      </c>
      <c r="E21" s="10"/>
      <c r="F21" s="13"/>
      <c r="G21" s="11">
        <v>68</v>
      </c>
      <c r="H21" s="11">
        <v>11750</v>
      </c>
      <c r="I21" s="11">
        <f t="shared" si="3"/>
        <v>346450</v>
      </c>
      <c r="J21" s="12">
        <v>0.102033333333333</v>
      </c>
      <c r="K21" s="10"/>
      <c r="L21" s="13"/>
      <c r="M21" s="3"/>
      <c r="N21" s="30"/>
      <c r="O21" s="13">
        <v>8</v>
      </c>
      <c r="P21" s="11">
        <v>3500</v>
      </c>
      <c r="Q21" s="11">
        <v>376200</v>
      </c>
      <c r="R21" s="10" t="s">
        <v>43</v>
      </c>
      <c r="S21" s="17">
        <f>SUM(Q15:Q23)</f>
        <v>2416600</v>
      </c>
      <c r="T21" s="10" t="s">
        <v>120</v>
      </c>
      <c r="U21" s="10"/>
      <c r="V21" s="10"/>
    </row>
    <row r="22" ht="16.5" spans="1:22">
      <c r="A22" s="10">
        <v>19</v>
      </c>
      <c r="B22" s="11">
        <v>2500</v>
      </c>
      <c r="C22" s="11">
        <f t="shared" si="2"/>
        <v>31200</v>
      </c>
      <c r="D22" s="12">
        <v>0.0352833333333333</v>
      </c>
      <c r="E22" s="10"/>
      <c r="F22" s="13"/>
      <c r="G22" s="11">
        <v>69</v>
      </c>
      <c r="H22" s="11">
        <v>12000</v>
      </c>
      <c r="I22" s="11">
        <f t="shared" si="3"/>
        <v>358450</v>
      </c>
      <c r="J22" s="12">
        <v>0.102783333333333</v>
      </c>
      <c r="K22" s="10"/>
      <c r="L22" s="13"/>
      <c r="M22" s="3"/>
      <c r="N22" s="30"/>
      <c r="O22" s="13">
        <v>9</v>
      </c>
      <c r="P22" s="11">
        <v>4000</v>
      </c>
      <c r="Q22" s="11">
        <v>429600</v>
      </c>
      <c r="R22" s="10"/>
      <c r="S22" s="18"/>
      <c r="T22" s="10" t="s">
        <v>121</v>
      </c>
      <c r="U22" s="10"/>
      <c r="V22" s="10"/>
    </row>
    <row r="23" ht="16.5" spans="1:22">
      <c r="A23" s="10">
        <v>20</v>
      </c>
      <c r="B23" s="11">
        <v>2600</v>
      </c>
      <c r="C23" s="11">
        <f t="shared" si="2"/>
        <v>33800</v>
      </c>
      <c r="D23" s="12">
        <v>0.036</v>
      </c>
      <c r="E23" s="10"/>
      <c r="F23" s="13"/>
      <c r="G23" s="11">
        <v>70</v>
      </c>
      <c r="H23" s="11">
        <v>12250</v>
      </c>
      <c r="I23" s="11">
        <f t="shared" si="3"/>
        <v>370700</v>
      </c>
      <c r="J23" s="12">
        <v>0.1035</v>
      </c>
      <c r="K23" s="10"/>
      <c r="L23" s="13"/>
      <c r="M23" s="3"/>
      <c r="N23" s="36"/>
      <c r="O23" s="13">
        <v>10</v>
      </c>
      <c r="P23" s="11">
        <v>4500</v>
      </c>
      <c r="Q23" s="11">
        <v>483600</v>
      </c>
      <c r="R23" s="10" t="s">
        <v>46</v>
      </c>
      <c r="S23" s="19"/>
      <c r="T23" s="10" t="s">
        <v>122</v>
      </c>
      <c r="U23" s="10"/>
      <c r="V23" s="10"/>
    </row>
    <row r="24" ht="16.5" spans="1:22">
      <c r="A24" s="10" t="s">
        <v>31</v>
      </c>
      <c r="B24" s="11"/>
      <c r="C24" s="11"/>
      <c r="D24" s="12">
        <v>0.042</v>
      </c>
      <c r="E24" s="10">
        <v>24</v>
      </c>
      <c r="F24" s="13" t="s">
        <v>48</v>
      </c>
      <c r="G24" s="11" t="s">
        <v>31</v>
      </c>
      <c r="H24" s="11"/>
      <c r="I24" s="11"/>
      <c r="J24" s="12">
        <v>0.1095</v>
      </c>
      <c r="K24" s="10">
        <v>84</v>
      </c>
      <c r="L24" s="13" t="s">
        <v>49</v>
      </c>
      <c r="M24" s="3"/>
      <c r="N24" s="7" t="s">
        <v>8</v>
      </c>
      <c r="O24" s="20" t="s">
        <v>9</v>
      </c>
      <c r="P24" s="20" t="s">
        <v>10</v>
      </c>
      <c r="Q24" s="20" t="s">
        <v>11</v>
      </c>
      <c r="R24" s="20" t="s">
        <v>12</v>
      </c>
      <c r="S24" s="20" t="s">
        <v>13</v>
      </c>
      <c r="T24" s="20" t="s">
        <v>14</v>
      </c>
      <c r="U24" s="20"/>
      <c r="V24" s="20"/>
    </row>
    <row r="25" ht="16.5" spans="1:22">
      <c r="A25" s="10">
        <v>21</v>
      </c>
      <c r="B25" s="11">
        <v>2700</v>
      </c>
      <c r="C25" s="11">
        <f>B25+C23</f>
        <v>36500</v>
      </c>
      <c r="D25" s="12">
        <v>0.0428</v>
      </c>
      <c r="E25" s="10"/>
      <c r="F25" s="13"/>
      <c r="G25" s="11">
        <v>71</v>
      </c>
      <c r="H25" s="11">
        <v>12500</v>
      </c>
      <c r="I25" s="11">
        <f>H25+I23</f>
        <v>383200</v>
      </c>
      <c r="J25" s="12">
        <v>0.1103</v>
      </c>
      <c r="K25" s="10"/>
      <c r="L25" s="13"/>
      <c r="M25" s="3"/>
      <c r="N25" s="57" t="s">
        <v>123</v>
      </c>
      <c r="O25" s="13">
        <v>1</v>
      </c>
      <c r="P25" s="10"/>
      <c r="Q25" s="10"/>
      <c r="R25" s="10"/>
      <c r="S25" s="10" t="s">
        <v>10</v>
      </c>
      <c r="T25" s="10" t="s">
        <v>124</v>
      </c>
      <c r="U25" s="10"/>
      <c r="V25" s="10"/>
    </row>
    <row r="26" ht="16.5" spans="1:22">
      <c r="A26" s="10">
        <v>22</v>
      </c>
      <c r="B26" s="11">
        <v>2800</v>
      </c>
      <c r="C26" s="11">
        <f t="shared" ref="C26:C34" si="4">B26+C25</f>
        <v>39300</v>
      </c>
      <c r="D26" s="12">
        <v>0.0435</v>
      </c>
      <c r="E26" s="10"/>
      <c r="F26" s="13"/>
      <c r="G26" s="11">
        <v>72</v>
      </c>
      <c r="H26" s="11">
        <v>12750</v>
      </c>
      <c r="I26" s="11">
        <f t="shared" ref="I26:I34" si="5">H26+I25</f>
        <v>395950</v>
      </c>
      <c r="J26" s="12">
        <v>0.111</v>
      </c>
      <c r="K26" s="10"/>
      <c r="L26" s="13"/>
      <c r="M26" s="3"/>
      <c r="N26" s="30"/>
      <c r="O26" s="13">
        <v>2</v>
      </c>
      <c r="P26" s="11">
        <v>200</v>
      </c>
      <c r="Q26" s="11">
        <v>27600</v>
      </c>
      <c r="R26" s="10"/>
      <c r="S26" s="10"/>
      <c r="T26" s="10" t="s">
        <v>125</v>
      </c>
      <c r="U26" s="10"/>
      <c r="V26" s="10"/>
    </row>
    <row r="27" ht="16.5" spans="1:22">
      <c r="A27" s="10">
        <v>23</v>
      </c>
      <c r="B27" s="11">
        <v>2900</v>
      </c>
      <c r="C27" s="11">
        <f t="shared" si="4"/>
        <v>42200</v>
      </c>
      <c r="D27" s="12">
        <v>0.0443</v>
      </c>
      <c r="E27" s="10"/>
      <c r="F27" s="13"/>
      <c r="G27" s="11">
        <v>73</v>
      </c>
      <c r="H27" s="11">
        <v>13000</v>
      </c>
      <c r="I27" s="11">
        <f t="shared" si="5"/>
        <v>408950</v>
      </c>
      <c r="J27" s="12">
        <v>0.1118</v>
      </c>
      <c r="K27" s="10"/>
      <c r="L27" s="13"/>
      <c r="M27" s="3"/>
      <c r="N27" s="30"/>
      <c r="O27" s="13">
        <v>3</v>
      </c>
      <c r="P27" s="11">
        <v>500</v>
      </c>
      <c r="Q27" s="11">
        <v>69000</v>
      </c>
      <c r="R27" s="10"/>
      <c r="S27" s="10"/>
      <c r="T27" s="10" t="s">
        <v>126</v>
      </c>
      <c r="U27" s="10"/>
      <c r="V27" s="10"/>
    </row>
    <row r="28" ht="16.5" spans="1:22">
      <c r="A28" s="10">
        <v>24</v>
      </c>
      <c r="B28" s="11">
        <v>3000</v>
      </c>
      <c r="C28" s="11">
        <f t="shared" si="4"/>
        <v>45200</v>
      </c>
      <c r="D28" s="12">
        <v>0.0450333333333333</v>
      </c>
      <c r="E28" s="10"/>
      <c r="F28" s="13"/>
      <c r="G28" s="11">
        <v>74</v>
      </c>
      <c r="H28" s="11">
        <v>13250</v>
      </c>
      <c r="I28" s="11">
        <f t="shared" si="5"/>
        <v>422200</v>
      </c>
      <c r="J28" s="12">
        <v>0.112533333333333</v>
      </c>
      <c r="K28" s="10"/>
      <c r="L28" s="13"/>
      <c r="M28" s="3"/>
      <c r="N28" s="30"/>
      <c r="O28" s="13">
        <v>4</v>
      </c>
      <c r="P28" s="11">
        <v>700</v>
      </c>
      <c r="Q28" s="11">
        <v>96600</v>
      </c>
      <c r="R28" s="10"/>
      <c r="S28" s="10"/>
      <c r="T28" s="10" t="s">
        <v>127</v>
      </c>
      <c r="U28" s="10"/>
      <c r="V28" s="10"/>
    </row>
    <row r="29" ht="16.5" spans="1:22">
      <c r="A29" s="10">
        <v>25</v>
      </c>
      <c r="B29" s="11">
        <v>3100</v>
      </c>
      <c r="C29" s="11">
        <f t="shared" si="4"/>
        <v>48300</v>
      </c>
      <c r="D29" s="12">
        <v>0.0457833333333333</v>
      </c>
      <c r="E29" s="10"/>
      <c r="F29" s="13"/>
      <c r="G29" s="11">
        <v>75</v>
      </c>
      <c r="H29" s="11">
        <v>13500</v>
      </c>
      <c r="I29" s="11">
        <f t="shared" si="5"/>
        <v>435700</v>
      </c>
      <c r="J29" s="12">
        <v>0.113283333333333</v>
      </c>
      <c r="K29" s="10"/>
      <c r="L29" s="13"/>
      <c r="M29" s="3"/>
      <c r="N29" s="30"/>
      <c r="O29" s="13">
        <v>5</v>
      </c>
      <c r="P29" s="11">
        <v>1000</v>
      </c>
      <c r="Q29" s="11">
        <v>138000</v>
      </c>
      <c r="R29" s="10"/>
      <c r="S29" s="10"/>
      <c r="T29" s="10" t="s">
        <v>128</v>
      </c>
      <c r="U29" s="10"/>
      <c r="V29" s="10"/>
    </row>
    <row r="30" ht="16.5" spans="1:22">
      <c r="A30" s="10">
        <v>26</v>
      </c>
      <c r="B30" s="11">
        <v>3200</v>
      </c>
      <c r="C30" s="11">
        <f t="shared" si="4"/>
        <v>51500</v>
      </c>
      <c r="D30" s="12">
        <v>0.0465333333333333</v>
      </c>
      <c r="E30" s="10"/>
      <c r="F30" s="13"/>
      <c r="G30" s="11">
        <v>76</v>
      </c>
      <c r="H30" s="11">
        <v>13750</v>
      </c>
      <c r="I30" s="11">
        <f t="shared" si="5"/>
        <v>449450</v>
      </c>
      <c r="J30" s="12">
        <v>0.114033333333333</v>
      </c>
      <c r="K30" s="10"/>
      <c r="L30" s="13"/>
      <c r="M30" s="3"/>
      <c r="N30" s="30"/>
      <c r="O30" s="13">
        <v>6</v>
      </c>
      <c r="P30" s="11">
        <v>1200</v>
      </c>
      <c r="Q30" s="11">
        <v>165600</v>
      </c>
      <c r="R30" s="10" t="s">
        <v>129</v>
      </c>
      <c r="S30" s="17">
        <f>SUM(P26:P44)</f>
        <v>50000</v>
      </c>
      <c r="T30" s="10" t="s">
        <v>130</v>
      </c>
      <c r="U30" s="10"/>
      <c r="V30" s="10"/>
    </row>
    <row r="31" ht="16.5" spans="1:22">
      <c r="A31" s="10">
        <v>27</v>
      </c>
      <c r="B31" s="11">
        <v>3300</v>
      </c>
      <c r="C31" s="11">
        <f t="shared" si="4"/>
        <v>54800</v>
      </c>
      <c r="D31" s="12">
        <v>0.0472833333333333</v>
      </c>
      <c r="E31" s="10"/>
      <c r="F31" s="13"/>
      <c r="G31" s="11">
        <v>77</v>
      </c>
      <c r="H31" s="11">
        <v>14000</v>
      </c>
      <c r="I31" s="11">
        <f t="shared" si="5"/>
        <v>463450</v>
      </c>
      <c r="J31" s="12">
        <v>0.114783333333333</v>
      </c>
      <c r="K31" s="10"/>
      <c r="L31" s="13"/>
      <c r="M31" s="3"/>
      <c r="N31" s="30"/>
      <c r="O31" s="13">
        <v>7</v>
      </c>
      <c r="P31" s="11">
        <v>1500</v>
      </c>
      <c r="Q31" s="11">
        <v>207000</v>
      </c>
      <c r="R31" s="10"/>
      <c r="S31" s="18"/>
      <c r="T31" s="10" t="s">
        <v>131</v>
      </c>
      <c r="U31" s="10"/>
      <c r="V31" s="10"/>
    </row>
    <row r="32" ht="16.5" spans="1:22">
      <c r="A32" s="10">
        <v>28</v>
      </c>
      <c r="B32" s="11">
        <v>3400</v>
      </c>
      <c r="C32" s="11">
        <f t="shared" si="4"/>
        <v>58200</v>
      </c>
      <c r="D32" s="12">
        <v>0.0480333333333333</v>
      </c>
      <c r="E32" s="10"/>
      <c r="F32" s="13"/>
      <c r="G32" s="11">
        <v>78</v>
      </c>
      <c r="H32" s="11">
        <v>14250</v>
      </c>
      <c r="I32" s="11">
        <f t="shared" si="5"/>
        <v>477700</v>
      </c>
      <c r="J32" s="12">
        <v>0.115533333333333</v>
      </c>
      <c r="K32" s="10"/>
      <c r="L32" s="13"/>
      <c r="M32" s="3"/>
      <c r="N32" s="30"/>
      <c r="O32" s="13">
        <v>8</v>
      </c>
      <c r="P32" s="11">
        <v>1700</v>
      </c>
      <c r="Q32" s="11">
        <v>234600</v>
      </c>
      <c r="R32" s="10"/>
      <c r="S32" s="18"/>
      <c r="T32" s="10" t="s">
        <v>132</v>
      </c>
      <c r="U32" s="10"/>
      <c r="V32" s="10"/>
    </row>
    <row r="33" ht="16.5" spans="1:22">
      <c r="A33" s="10">
        <v>29</v>
      </c>
      <c r="B33" s="11">
        <v>3500</v>
      </c>
      <c r="C33" s="11">
        <f t="shared" si="4"/>
        <v>61700</v>
      </c>
      <c r="D33" s="12">
        <v>0.0487833333333333</v>
      </c>
      <c r="E33" s="10"/>
      <c r="F33" s="13"/>
      <c r="G33" s="11">
        <v>79</v>
      </c>
      <c r="H33" s="11">
        <v>14500</v>
      </c>
      <c r="I33" s="11">
        <f t="shared" si="5"/>
        <v>492200</v>
      </c>
      <c r="J33" s="12">
        <v>0.116283333333333</v>
      </c>
      <c r="K33" s="10"/>
      <c r="L33" s="13"/>
      <c r="M33" s="3"/>
      <c r="N33" s="30"/>
      <c r="O33" s="13">
        <v>9</v>
      </c>
      <c r="P33" s="11">
        <v>2000</v>
      </c>
      <c r="Q33" s="11">
        <v>276000</v>
      </c>
      <c r="R33" s="10"/>
      <c r="S33" s="18"/>
      <c r="T33" s="10" t="s">
        <v>133</v>
      </c>
      <c r="U33" s="10"/>
      <c r="V33" s="10"/>
    </row>
    <row r="34" ht="16.5" spans="1:22">
      <c r="A34" s="10">
        <v>30</v>
      </c>
      <c r="B34" s="11">
        <v>3650</v>
      </c>
      <c r="C34" s="11">
        <f t="shared" si="4"/>
        <v>65350</v>
      </c>
      <c r="D34" s="12">
        <v>0.0495</v>
      </c>
      <c r="E34" s="10"/>
      <c r="F34" s="13"/>
      <c r="G34" s="11">
        <v>80</v>
      </c>
      <c r="H34" s="11">
        <v>14750</v>
      </c>
      <c r="I34" s="11">
        <f t="shared" si="5"/>
        <v>506950</v>
      </c>
      <c r="J34" s="12">
        <v>0.117</v>
      </c>
      <c r="K34" s="10"/>
      <c r="L34" s="13"/>
      <c r="M34" s="3"/>
      <c r="N34" s="30"/>
      <c r="O34" s="13">
        <v>10</v>
      </c>
      <c r="P34" s="11">
        <v>2300</v>
      </c>
      <c r="Q34" s="11">
        <v>318000</v>
      </c>
      <c r="R34" s="10"/>
      <c r="S34" s="19"/>
      <c r="T34" s="10" t="s">
        <v>134</v>
      </c>
      <c r="U34" s="10"/>
      <c r="V34" s="10"/>
    </row>
    <row r="35" ht="16.5" spans="1:22">
      <c r="A35" s="10" t="s">
        <v>31</v>
      </c>
      <c r="B35" s="11"/>
      <c r="C35" s="11"/>
      <c r="D35" s="12">
        <v>0.0555</v>
      </c>
      <c r="E35" s="10">
        <v>36</v>
      </c>
      <c r="F35" s="13" t="s">
        <v>64</v>
      </c>
      <c r="G35" s="11" t="s">
        <v>31</v>
      </c>
      <c r="H35" s="11"/>
      <c r="I35" s="11"/>
      <c r="J35" s="12">
        <v>0.123</v>
      </c>
      <c r="K35" s="10">
        <v>96</v>
      </c>
      <c r="L35" s="13" t="s">
        <v>65</v>
      </c>
      <c r="M35" s="3"/>
      <c r="N35" s="30"/>
      <c r="O35" s="13">
        <v>11</v>
      </c>
      <c r="P35" s="11">
        <v>2500</v>
      </c>
      <c r="Q35" s="11">
        <v>345600</v>
      </c>
      <c r="R35" s="10" t="s">
        <v>135</v>
      </c>
      <c r="S35" s="10" t="s">
        <v>11</v>
      </c>
      <c r="T35" s="10" t="s">
        <v>136</v>
      </c>
      <c r="U35" s="10"/>
      <c r="V35" s="10"/>
    </row>
    <row r="36" ht="16.5" spans="1:22">
      <c r="A36" s="10">
        <v>31</v>
      </c>
      <c r="B36" s="11">
        <v>3800</v>
      </c>
      <c r="C36" s="11">
        <f>B36+C34</f>
        <v>69150</v>
      </c>
      <c r="D36" s="12">
        <v>0.0563</v>
      </c>
      <c r="E36" s="10"/>
      <c r="F36" s="13"/>
      <c r="G36" s="11">
        <v>81</v>
      </c>
      <c r="H36" s="11">
        <v>15000</v>
      </c>
      <c r="I36" s="11">
        <f>H36+I34</f>
        <v>521950</v>
      </c>
      <c r="J36" s="12">
        <v>0.1238</v>
      </c>
      <c r="K36" s="10"/>
      <c r="L36" s="13"/>
      <c r="M36" s="3"/>
      <c r="N36" s="30"/>
      <c r="O36" s="13">
        <v>12</v>
      </c>
      <c r="P36" s="11">
        <v>2700</v>
      </c>
      <c r="Q36" s="11">
        <v>373200</v>
      </c>
      <c r="R36" s="10"/>
      <c r="S36" s="10"/>
      <c r="T36" s="10" t="s">
        <v>137</v>
      </c>
      <c r="U36" s="10"/>
      <c r="V36" s="10"/>
    </row>
    <row r="37" ht="16.5" spans="1:22">
      <c r="A37" s="10">
        <v>32</v>
      </c>
      <c r="B37" s="11">
        <v>3950</v>
      </c>
      <c r="C37" s="11">
        <f t="shared" ref="C37:C45" si="6">B37+C36</f>
        <v>73100</v>
      </c>
      <c r="D37" s="12">
        <v>0.057</v>
      </c>
      <c r="E37" s="10"/>
      <c r="F37" s="13"/>
      <c r="G37" s="11">
        <v>82</v>
      </c>
      <c r="H37" s="11">
        <v>15250</v>
      </c>
      <c r="I37" s="11">
        <f t="shared" ref="I37:I45" si="7">H37+I36</f>
        <v>537200</v>
      </c>
      <c r="J37" s="12">
        <v>0.1245</v>
      </c>
      <c r="K37" s="10"/>
      <c r="L37" s="13"/>
      <c r="M37" s="3"/>
      <c r="N37" s="30"/>
      <c r="O37" s="13">
        <v>13</v>
      </c>
      <c r="P37" s="11">
        <v>3000</v>
      </c>
      <c r="Q37" s="11">
        <v>414600</v>
      </c>
      <c r="R37" s="10"/>
      <c r="S37" s="10"/>
      <c r="T37" s="10" t="s">
        <v>138</v>
      </c>
      <c r="U37" s="10"/>
      <c r="V37" s="10"/>
    </row>
    <row r="38" ht="16.5" spans="1:22">
      <c r="A38" s="10">
        <v>33</v>
      </c>
      <c r="B38" s="11">
        <v>4100</v>
      </c>
      <c r="C38" s="11">
        <f t="shared" si="6"/>
        <v>77200</v>
      </c>
      <c r="D38" s="12">
        <v>0.0578</v>
      </c>
      <c r="E38" s="10"/>
      <c r="F38" s="13"/>
      <c r="G38" s="11">
        <v>83</v>
      </c>
      <c r="H38" s="11">
        <v>15500</v>
      </c>
      <c r="I38" s="11">
        <f t="shared" si="7"/>
        <v>552700</v>
      </c>
      <c r="J38" s="12">
        <v>0.125266666666667</v>
      </c>
      <c r="K38" s="10"/>
      <c r="L38" s="13"/>
      <c r="M38" s="3"/>
      <c r="N38" s="30"/>
      <c r="O38" s="13">
        <v>14</v>
      </c>
      <c r="P38" s="11">
        <v>3500</v>
      </c>
      <c r="Q38" s="11">
        <v>483600</v>
      </c>
      <c r="R38" s="10"/>
      <c r="S38" s="10"/>
      <c r="T38" s="10" t="s">
        <v>139</v>
      </c>
      <c r="U38" s="10"/>
      <c r="V38" s="10"/>
    </row>
    <row r="39" ht="16.5" spans="1:22">
      <c r="A39" s="10">
        <v>34</v>
      </c>
      <c r="B39" s="11">
        <v>4250</v>
      </c>
      <c r="C39" s="11">
        <f t="shared" si="6"/>
        <v>81450</v>
      </c>
      <c r="D39" s="12">
        <v>0.0585333333333333</v>
      </c>
      <c r="E39" s="10"/>
      <c r="F39" s="13"/>
      <c r="G39" s="11">
        <v>84</v>
      </c>
      <c r="H39" s="11">
        <v>15750</v>
      </c>
      <c r="I39" s="11">
        <f t="shared" si="7"/>
        <v>568450</v>
      </c>
      <c r="J39" s="12">
        <v>0.126016666666667</v>
      </c>
      <c r="K39" s="10"/>
      <c r="L39" s="13"/>
      <c r="M39" s="3"/>
      <c r="N39" s="30"/>
      <c r="O39" s="13">
        <v>15</v>
      </c>
      <c r="P39" s="11">
        <v>4000</v>
      </c>
      <c r="Q39" s="11">
        <v>552600</v>
      </c>
      <c r="R39" s="10"/>
      <c r="S39" s="10"/>
      <c r="T39" s="10" t="s">
        <v>140</v>
      </c>
      <c r="U39" s="10"/>
      <c r="V39" s="10"/>
    </row>
    <row r="40" ht="16.5" spans="1:22">
      <c r="A40" s="10">
        <v>35</v>
      </c>
      <c r="B40" s="11">
        <v>4400</v>
      </c>
      <c r="C40" s="11">
        <f t="shared" si="6"/>
        <v>85850</v>
      </c>
      <c r="D40" s="12">
        <v>0.0592833333333333</v>
      </c>
      <c r="E40" s="10"/>
      <c r="F40" s="13"/>
      <c r="G40" s="11">
        <v>85</v>
      </c>
      <c r="H40" s="11">
        <v>16000</v>
      </c>
      <c r="I40" s="11">
        <f t="shared" si="7"/>
        <v>584450</v>
      </c>
      <c r="J40" s="12">
        <v>0.126766666666667</v>
      </c>
      <c r="K40" s="10"/>
      <c r="L40" s="13"/>
      <c r="M40" s="3"/>
      <c r="N40" s="30"/>
      <c r="O40" s="13">
        <v>16</v>
      </c>
      <c r="P40" s="11">
        <v>4000</v>
      </c>
      <c r="Q40" s="11">
        <v>552600</v>
      </c>
      <c r="R40" s="10" t="s">
        <v>141</v>
      </c>
      <c r="S40" s="17">
        <f>SUM(Q26:Q44)</f>
        <v>6907800</v>
      </c>
      <c r="T40" s="10" t="s">
        <v>142</v>
      </c>
      <c r="U40" s="10"/>
      <c r="V40" s="10"/>
    </row>
    <row r="41" ht="16.5" spans="1:22">
      <c r="A41" s="10">
        <v>36</v>
      </c>
      <c r="B41" s="11">
        <v>4550</v>
      </c>
      <c r="C41" s="11">
        <f t="shared" si="6"/>
        <v>90400</v>
      </c>
      <c r="D41" s="12">
        <v>0.0600333333333334</v>
      </c>
      <c r="E41" s="10"/>
      <c r="F41" s="13"/>
      <c r="G41" s="11">
        <v>86</v>
      </c>
      <c r="H41" s="11">
        <v>16250</v>
      </c>
      <c r="I41" s="11">
        <f t="shared" si="7"/>
        <v>600700</v>
      </c>
      <c r="J41" s="12">
        <v>0.127516666666667</v>
      </c>
      <c r="K41" s="10"/>
      <c r="L41" s="13"/>
      <c r="M41" s="3"/>
      <c r="N41" s="30"/>
      <c r="O41" s="13">
        <v>17</v>
      </c>
      <c r="P41" s="11">
        <v>4500</v>
      </c>
      <c r="Q41" s="11">
        <v>621600</v>
      </c>
      <c r="R41" s="10"/>
      <c r="S41" s="18"/>
      <c r="T41" s="10" t="s">
        <v>143</v>
      </c>
      <c r="U41" s="10"/>
      <c r="V41" s="10"/>
    </row>
    <row r="42" ht="16.5" spans="1:22">
      <c r="A42" s="10">
        <v>37</v>
      </c>
      <c r="B42" s="11">
        <v>4700</v>
      </c>
      <c r="C42" s="11">
        <f t="shared" si="6"/>
        <v>95100</v>
      </c>
      <c r="D42" s="12">
        <v>0.0607833333333334</v>
      </c>
      <c r="E42" s="10"/>
      <c r="F42" s="13"/>
      <c r="G42" s="11">
        <v>87</v>
      </c>
      <c r="H42" s="11">
        <v>16500</v>
      </c>
      <c r="I42" s="11">
        <f t="shared" si="7"/>
        <v>617200</v>
      </c>
      <c r="J42" s="12">
        <v>0.128266666666667</v>
      </c>
      <c r="K42" s="10"/>
      <c r="L42" s="13"/>
      <c r="M42" s="3"/>
      <c r="N42" s="30"/>
      <c r="O42" s="13">
        <v>18</v>
      </c>
      <c r="P42" s="11">
        <v>4500</v>
      </c>
      <c r="Q42" s="11">
        <v>621600</v>
      </c>
      <c r="R42" s="10"/>
      <c r="S42" s="18"/>
      <c r="T42" s="10" t="s">
        <v>144</v>
      </c>
      <c r="U42" s="10"/>
      <c r="V42" s="10"/>
    </row>
    <row r="43" ht="16.5" spans="1:22">
      <c r="A43" s="10">
        <v>38</v>
      </c>
      <c r="B43" s="11">
        <v>4850</v>
      </c>
      <c r="C43" s="11">
        <f t="shared" si="6"/>
        <v>99950</v>
      </c>
      <c r="D43" s="12">
        <v>0.0615333333333334</v>
      </c>
      <c r="E43" s="10"/>
      <c r="F43" s="13"/>
      <c r="G43" s="11">
        <v>88</v>
      </c>
      <c r="H43" s="11">
        <v>16750</v>
      </c>
      <c r="I43" s="11">
        <f t="shared" si="7"/>
        <v>633950</v>
      </c>
      <c r="J43" s="12">
        <v>0.129016666666667</v>
      </c>
      <c r="K43" s="10"/>
      <c r="L43" s="13"/>
      <c r="M43" s="3"/>
      <c r="N43" s="30"/>
      <c r="O43" s="13">
        <v>19</v>
      </c>
      <c r="P43" s="11">
        <v>5100</v>
      </c>
      <c r="Q43" s="11">
        <v>705000</v>
      </c>
      <c r="R43" s="10"/>
      <c r="S43" s="18"/>
      <c r="T43" s="10" t="s">
        <v>145</v>
      </c>
      <c r="U43" s="10"/>
      <c r="V43" s="10"/>
    </row>
    <row r="44" ht="16.5" spans="1:22">
      <c r="A44" s="10">
        <v>39</v>
      </c>
      <c r="B44" s="11">
        <v>5000</v>
      </c>
      <c r="C44" s="11">
        <f t="shared" si="6"/>
        <v>104950</v>
      </c>
      <c r="D44" s="12">
        <v>0.0622833333333334</v>
      </c>
      <c r="E44" s="10"/>
      <c r="F44" s="13"/>
      <c r="G44" s="11">
        <v>89</v>
      </c>
      <c r="H44" s="11">
        <v>17000</v>
      </c>
      <c r="I44" s="11">
        <f t="shared" si="7"/>
        <v>650950</v>
      </c>
      <c r="J44" s="12">
        <v>0.129766666666667</v>
      </c>
      <c r="K44" s="10"/>
      <c r="L44" s="13"/>
      <c r="M44" s="3"/>
      <c r="N44" s="36"/>
      <c r="O44" s="13">
        <v>20</v>
      </c>
      <c r="P44" s="11">
        <v>5100</v>
      </c>
      <c r="Q44" s="11">
        <v>705000</v>
      </c>
      <c r="R44" s="10" t="s">
        <v>146</v>
      </c>
      <c r="S44" s="19"/>
      <c r="T44" s="10" t="s">
        <v>147</v>
      </c>
      <c r="U44" s="10"/>
      <c r="V44" s="10"/>
    </row>
    <row r="45" ht="16.5" spans="1:22">
      <c r="A45" s="10">
        <v>40</v>
      </c>
      <c r="B45" s="11">
        <v>5200</v>
      </c>
      <c r="C45" s="11">
        <f t="shared" si="6"/>
        <v>110150</v>
      </c>
      <c r="D45" s="12">
        <v>0.063</v>
      </c>
      <c r="E45" s="10"/>
      <c r="F45" s="13"/>
      <c r="G45" s="11">
        <v>90</v>
      </c>
      <c r="H45" s="11">
        <v>17250</v>
      </c>
      <c r="I45" s="11">
        <f t="shared" si="7"/>
        <v>668200</v>
      </c>
      <c r="J45" s="12">
        <v>0.1305</v>
      </c>
      <c r="K45" s="10"/>
      <c r="L45" s="13"/>
      <c r="M45" s="3"/>
      <c r="N45" s="7" t="s">
        <v>8</v>
      </c>
      <c r="O45" s="20" t="s">
        <v>9</v>
      </c>
      <c r="P45" s="20" t="s">
        <v>10</v>
      </c>
      <c r="Q45" s="20" t="s">
        <v>11</v>
      </c>
      <c r="R45" s="20" t="s">
        <v>12</v>
      </c>
      <c r="S45" s="20" t="s">
        <v>13</v>
      </c>
      <c r="T45" s="20" t="s">
        <v>14</v>
      </c>
      <c r="U45" s="20"/>
      <c r="V45" s="20"/>
    </row>
    <row r="46" ht="16.5" spans="1:22">
      <c r="A46" s="10" t="s">
        <v>31</v>
      </c>
      <c r="B46" s="11"/>
      <c r="C46" s="11"/>
      <c r="D46" s="12">
        <v>0.069</v>
      </c>
      <c r="E46" s="10">
        <v>48</v>
      </c>
      <c r="F46" s="13" t="s">
        <v>80</v>
      </c>
      <c r="G46" s="11"/>
      <c r="H46" s="11"/>
      <c r="I46" s="11"/>
      <c r="J46" s="12">
        <v>0.1365</v>
      </c>
      <c r="K46" s="10">
        <v>108</v>
      </c>
      <c r="L46" s="13" t="s">
        <v>81</v>
      </c>
      <c r="M46" s="3"/>
      <c r="N46" s="57" t="s">
        <v>148</v>
      </c>
      <c r="O46" s="13">
        <v>1</v>
      </c>
      <c r="P46" s="10"/>
      <c r="Q46" s="10"/>
      <c r="R46" s="10"/>
      <c r="S46" s="10" t="s">
        <v>10</v>
      </c>
      <c r="T46" s="54" t="s">
        <v>149</v>
      </c>
      <c r="U46" s="42"/>
      <c r="V46" s="43"/>
    </row>
    <row r="47" ht="16.5" spans="1:22">
      <c r="A47" s="10">
        <v>41</v>
      </c>
      <c r="B47" s="11">
        <v>5400</v>
      </c>
      <c r="C47" s="11">
        <f>B47+C45</f>
        <v>115550</v>
      </c>
      <c r="D47" s="12">
        <v>0.0698</v>
      </c>
      <c r="E47" s="10"/>
      <c r="F47" s="13"/>
      <c r="G47" s="11">
        <v>91</v>
      </c>
      <c r="H47" s="11">
        <v>17500</v>
      </c>
      <c r="I47" s="11">
        <f>H47+I45</f>
        <v>685700</v>
      </c>
      <c r="J47" s="12">
        <v>0.1373</v>
      </c>
      <c r="K47" s="10"/>
      <c r="L47" s="13"/>
      <c r="M47" s="3"/>
      <c r="N47" s="30"/>
      <c r="O47" s="13">
        <v>2</v>
      </c>
      <c r="P47" s="11">
        <v>300</v>
      </c>
      <c r="Q47" s="11">
        <v>46200</v>
      </c>
      <c r="R47" s="10"/>
      <c r="S47" s="10"/>
      <c r="T47" s="10" t="s">
        <v>150</v>
      </c>
      <c r="U47" s="10"/>
      <c r="V47" s="10"/>
    </row>
    <row r="48" ht="16.5" spans="1:22">
      <c r="A48" s="10">
        <v>42</v>
      </c>
      <c r="B48" s="11">
        <v>5600</v>
      </c>
      <c r="C48" s="11">
        <f t="shared" ref="C48:C56" si="8">B48+C47</f>
        <v>121150</v>
      </c>
      <c r="D48" s="12">
        <v>0.0705</v>
      </c>
      <c r="E48" s="10"/>
      <c r="F48" s="13"/>
      <c r="G48" s="11">
        <v>92</v>
      </c>
      <c r="H48" s="11">
        <v>17750</v>
      </c>
      <c r="I48" s="11">
        <f t="shared" ref="I48:I56" si="9">H48+I47</f>
        <v>703450</v>
      </c>
      <c r="J48" s="12">
        <v>0.138</v>
      </c>
      <c r="K48" s="10"/>
      <c r="L48" s="13"/>
      <c r="M48" s="3"/>
      <c r="N48" s="30"/>
      <c r="O48" s="13">
        <v>3</v>
      </c>
      <c r="P48" s="11">
        <v>700</v>
      </c>
      <c r="Q48" s="11">
        <v>108600</v>
      </c>
      <c r="R48" s="10"/>
      <c r="S48" s="10"/>
      <c r="T48" s="10" t="s">
        <v>151</v>
      </c>
      <c r="U48" s="10"/>
      <c r="V48" s="10"/>
    </row>
    <row r="49" ht="16.5" spans="1:22">
      <c r="A49" s="10">
        <v>43</v>
      </c>
      <c r="B49" s="11">
        <v>5800</v>
      </c>
      <c r="C49" s="11">
        <f t="shared" si="8"/>
        <v>126950</v>
      </c>
      <c r="D49" s="12">
        <v>0.0713</v>
      </c>
      <c r="E49" s="10"/>
      <c r="F49" s="13"/>
      <c r="G49" s="11">
        <v>93</v>
      </c>
      <c r="H49" s="11">
        <v>18000</v>
      </c>
      <c r="I49" s="11">
        <f t="shared" si="9"/>
        <v>721450</v>
      </c>
      <c r="J49" s="12">
        <v>0.1388</v>
      </c>
      <c r="K49" s="10"/>
      <c r="L49" s="13"/>
      <c r="M49" s="3"/>
      <c r="N49" s="30"/>
      <c r="O49" s="13">
        <v>4</v>
      </c>
      <c r="P49" s="11">
        <v>1000</v>
      </c>
      <c r="Q49" s="11">
        <v>155400</v>
      </c>
      <c r="R49" s="10"/>
      <c r="S49" s="10"/>
      <c r="T49" s="10" t="s">
        <v>152</v>
      </c>
      <c r="U49" s="10"/>
      <c r="V49" s="10"/>
    </row>
    <row r="50" ht="16.5" spans="1:22">
      <c r="A50" s="10">
        <v>44</v>
      </c>
      <c r="B50" s="11">
        <v>6000</v>
      </c>
      <c r="C50" s="11">
        <f t="shared" si="8"/>
        <v>132950</v>
      </c>
      <c r="D50" s="12">
        <v>0.0720333333333333</v>
      </c>
      <c r="E50" s="10"/>
      <c r="F50" s="13"/>
      <c r="G50" s="11">
        <v>94</v>
      </c>
      <c r="H50" s="11">
        <v>18250</v>
      </c>
      <c r="I50" s="11">
        <f t="shared" si="9"/>
        <v>739700</v>
      </c>
      <c r="J50" s="12">
        <v>0.139533333333333</v>
      </c>
      <c r="K50" s="10"/>
      <c r="L50" s="13"/>
      <c r="M50" s="3"/>
      <c r="N50" s="30"/>
      <c r="O50" s="13">
        <v>5</v>
      </c>
      <c r="P50" s="11">
        <v>1400</v>
      </c>
      <c r="Q50" s="11">
        <v>217200</v>
      </c>
      <c r="R50" s="10"/>
      <c r="S50" s="10"/>
      <c r="T50" s="10" t="s">
        <v>153</v>
      </c>
      <c r="U50" s="10"/>
      <c r="V50" s="10"/>
    </row>
    <row r="51" ht="16.5" spans="1:22">
      <c r="A51" s="10">
        <v>45</v>
      </c>
      <c r="B51" s="11">
        <v>6200</v>
      </c>
      <c r="C51" s="11">
        <f t="shared" si="8"/>
        <v>139150</v>
      </c>
      <c r="D51" s="12">
        <v>0.0727833333333333</v>
      </c>
      <c r="E51" s="10"/>
      <c r="F51" s="13"/>
      <c r="G51" s="11">
        <v>95</v>
      </c>
      <c r="H51" s="11">
        <v>18500</v>
      </c>
      <c r="I51" s="11">
        <f t="shared" si="9"/>
        <v>758200</v>
      </c>
      <c r="J51" s="12">
        <v>0.140283333333333</v>
      </c>
      <c r="K51" s="10"/>
      <c r="L51" s="13"/>
      <c r="M51" s="3"/>
      <c r="N51" s="30"/>
      <c r="O51" s="13">
        <v>6</v>
      </c>
      <c r="P51" s="11">
        <v>1800</v>
      </c>
      <c r="Q51" s="11">
        <v>279600</v>
      </c>
      <c r="R51" s="10" t="s">
        <v>135</v>
      </c>
      <c r="S51" s="17">
        <f>SUM(P47:P65)</f>
        <v>70500</v>
      </c>
      <c r="T51" s="10" t="s">
        <v>154</v>
      </c>
      <c r="U51" s="10"/>
      <c r="V51" s="10"/>
    </row>
    <row r="52" ht="16.5" spans="1:22">
      <c r="A52" s="10">
        <v>46</v>
      </c>
      <c r="B52" s="11">
        <v>6400</v>
      </c>
      <c r="C52" s="11">
        <f t="shared" si="8"/>
        <v>145550</v>
      </c>
      <c r="D52" s="12">
        <v>0.0735333333333333</v>
      </c>
      <c r="E52" s="10"/>
      <c r="F52" s="13"/>
      <c r="G52" s="11">
        <v>96</v>
      </c>
      <c r="H52" s="11">
        <v>18750</v>
      </c>
      <c r="I52" s="11">
        <f t="shared" si="9"/>
        <v>776950</v>
      </c>
      <c r="J52" s="12">
        <v>0.141033333333333</v>
      </c>
      <c r="K52" s="10"/>
      <c r="L52" s="13"/>
      <c r="M52" s="3"/>
      <c r="N52" s="30"/>
      <c r="O52" s="13">
        <v>7</v>
      </c>
      <c r="P52" s="11">
        <v>2100</v>
      </c>
      <c r="Q52" s="11">
        <v>326400</v>
      </c>
      <c r="R52" s="10"/>
      <c r="S52" s="18"/>
      <c r="T52" s="10" t="s">
        <v>155</v>
      </c>
      <c r="U52" s="10"/>
      <c r="V52" s="10"/>
    </row>
    <row r="53" ht="16.5" spans="1:22">
      <c r="A53" s="10">
        <v>47</v>
      </c>
      <c r="B53" s="11">
        <v>6600</v>
      </c>
      <c r="C53" s="11">
        <f t="shared" si="8"/>
        <v>152150</v>
      </c>
      <c r="D53" s="12">
        <v>0.0742833333333333</v>
      </c>
      <c r="E53" s="10"/>
      <c r="F53" s="13"/>
      <c r="G53" s="11">
        <v>97</v>
      </c>
      <c r="H53" s="11">
        <v>19000</v>
      </c>
      <c r="I53" s="11">
        <f t="shared" si="9"/>
        <v>795950</v>
      </c>
      <c r="J53" s="12">
        <v>0.141783333333333</v>
      </c>
      <c r="K53" s="10"/>
      <c r="L53" s="13"/>
      <c r="M53" s="3"/>
      <c r="N53" s="30"/>
      <c r="O53" s="13">
        <v>8</v>
      </c>
      <c r="P53" s="11">
        <v>2400</v>
      </c>
      <c r="Q53" s="11">
        <v>373200</v>
      </c>
      <c r="R53" s="10"/>
      <c r="S53" s="18"/>
      <c r="T53" s="10" t="s">
        <v>156</v>
      </c>
      <c r="U53" s="10"/>
      <c r="V53" s="10"/>
    </row>
    <row r="54" ht="16.5" spans="1:22">
      <c r="A54" s="10">
        <v>48</v>
      </c>
      <c r="B54" s="11">
        <v>6800</v>
      </c>
      <c r="C54" s="11">
        <f t="shared" si="8"/>
        <v>158950</v>
      </c>
      <c r="D54" s="12">
        <v>0.0750333333333333</v>
      </c>
      <c r="E54" s="10"/>
      <c r="F54" s="13"/>
      <c r="G54" s="11">
        <v>98</v>
      </c>
      <c r="H54" s="11">
        <v>19250</v>
      </c>
      <c r="I54" s="11">
        <f t="shared" si="9"/>
        <v>815200</v>
      </c>
      <c r="J54" s="12">
        <v>0.142533333333333</v>
      </c>
      <c r="K54" s="10"/>
      <c r="L54" s="13"/>
      <c r="M54" s="3"/>
      <c r="N54" s="30"/>
      <c r="O54" s="13">
        <v>9</v>
      </c>
      <c r="P54" s="11">
        <v>2800</v>
      </c>
      <c r="Q54" s="11">
        <v>435000</v>
      </c>
      <c r="R54" s="10"/>
      <c r="S54" s="18"/>
      <c r="T54" s="10" t="s">
        <v>157</v>
      </c>
      <c r="U54" s="10"/>
      <c r="V54" s="10"/>
    </row>
    <row r="55" ht="16.5" spans="1:22">
      <c r="A55" s="10">
        <v>49</v>
      </c>
      <c r="B55" s="11">
        <v>7000</v>
      </c>
      <c r="C55" s="11">
        <f t="shared" si="8"/>
        <v>165950</v>
      </c>
      <c r="D55" s="12">
        <v>0.0757833333333333</v>
      </c>
      <c r="E55" s="10"/>
      <c r="F55" s="13"/>
      <c r="G55" s="11">
        <v>99</v>
      </c>
      <c r="H55" s="11">
        <v>19500</v>
      </c>
      <c r="I55" s="11">
        <f t="shared" si="9"/>
        <v>834700</v>
      </c>
      <c r="J55" s="12">
        <v>0.143283333333333</v>
      </c>
      <c r="K55" s="10"/>
      <c r="L55" s="13"/>
      <c r="M55" s="3"/>
      <c r="N55" s="30"/>
      <c r="O55" s="13">
        <v>10</v>
      </c>
      <c r="P55" s="11">
        <v>3200</v>
      </c>
      <c r="Q55" s="11">
        <v>497400</v>
      </c>
      <c r="R55" s="10"/>
      <c r="S55" s="19"/>
      <c r="T55" s="10" t="s">
        <v>158</v>
      </c>
      <c r="U55" s="10"/>
      <c r="V55" s="10"/>
    </row>
    <row r="56" ht="16.5" spans="1:22">
      <c r="A56" s="10">
        <v>50</v>
      </c>
      <c r="B56" s="11">
        <v>7250</v>
      </c>
      <c r="C56" s="11">
        <f t="shared" si="8"/>
        <v>173200</v>
      </c>
      <c r="D56" s="12">
        <v>0.0765</v>
      </c>
      <c r="E56" s="10"/>
      <c r="F56" s="13"/>
      <c r="G56" s="11">
        <v>100</v>
      </c>
      <c r="H56" s="11">
        <v>19750</v>
      </c>
      <c r="I56" s="11">
        <f t="shared" si="9"/>
        <v>854450</v>
      </c>
      <c r="J56" s="12">
        <v>0.144</v>
      </c>
      <c r="K56" s="10"/>
      <c r="L56" s="13"/>
      <c r="M56" s="3"/>
      <c r="N56" s="30"/>
      <c r="O56" s="13">
        <v>11</v>
      </c>
      <c r="P56" s="11">
        <v>3500</v>
      </c>
      <c r="Q56" s="11">
        <v>544200</v>
      </c>
      <c r="R56" s="10" t="s">
        <v>159</v>
      </c>
      <c r="S56" s="10" t="s">
        <v>11</v>
      </c>
      <c r="T56" s="10" t="s">
        <v>160</v>
      </c>
      <c r="U56" s="10"/>
      <c r="V56" s="10"/>
    </row>
    <row r="57" ht="16.5" spans="1:22">
      <c r="A57" s="10" t="s">
        <v>31</v>
      </c>
      <c r="B57" s="10"/>
      <c r="C57" s="10"/>
      <c r="D57" s="10">
        <v>0.0825</v>
      </c>
      <c r="E57" s="10">
        <v>60</v>
      </c>
      <c r="F57" s="13" t="s">
        <v>16</v>
      </c>
      <c r="G57" s="10"/>
      <c r="H57" s="10"/>
      <c r="I57" s="10"/>
      <c r="J57" s="12">
        <v>0.15</v>
      </c>
      <c r="K57" s="10">
        <v>120</v>
      </c>
      <c r="L57" s="13" t="s">
        <v>94</v>
      </c>
      <c r="M57" s="3"/>
      <c r="N57" s="30"/>
      <c r="O57" s="13">
        <v>12</v>
      </c>
      <c r="P57" s="11">
        <v>3800</v>
      </c>
      <c r="Q57" s="11">
        <v>591000</v>
      </c>
      <c r="R57" s="10"/>
      <c r="S57" s="10"/>
      <c r="T57" s="10" t="s">
        <v>161</v>
      </c>
      <c r="U57" s="10"/>
      <c r="V57" s="10"/>
    </row>
    <row r="58" ht="16.5" spans="1:22">
      <c r="A58" s="44" t="s">
        <v>96</v>
      </c>
      <c r="B58" s="44"/>
      <c r="C58" s="45"/>
      <c r="D58" s="45"/>
      <c r="E58" s="44" t="s">
        <v>97</v>
      </c>
      <c r="F58" s="44">
        <f>SUM(B3:B12)+SUM(B14:B23)+SUM(B25:B34)+SUM(B36:B45)+SUM(B47:B56)+SUM(H3:H12)+SUM(H14:H23)+SUM(H25:H34)+SUM(H36:H45)+SUM(H47:H56)</f>
        <v>854450</v>
      </c>
      <c r="G58" s="45"/>
      <c r="H58" s="45"/>
      <c r="I58" s="44" t="s">
        <v>6</v>
      </c>
      <c r="J58" s="44">
        <f>E13+E24+E35+E46+E57+K13+K24+K35+K46+K57</f>
        <v>660</v>
      </c>
      <c r="K58" s="45"/>
      <c r="L58" s="45"/>
      <c r="M58" s="3"/>
      <c r="N58" s="30"/>
      <c r="O58" s="13">
        <v>13</v>
      </c>
      <c r="P58" s="11">
        <v>4200</v>
      </c>
      <c r="Q58" s="11">
        <v>652800</v>
      </c>
      <c r="R58" s="10"/>
      <c r="S58" s="10"/>
      <c r="T58" s="10" t="s">
        <v>162</v>
      </c>
      <c r="U58" s="10"/>
      <c r="V58" s="10"/>
    </row>
    <row r="59" ht="16.5" spans="1:22">
      <c r="A59" s="44"/>
      <c r="B59" s="44"/>
      <c r="C59" s="45"/>
      <c r="D59" s="45"/>
      <c r="E59" s="44"/>
      <c r="F59" s="44"/>
      <c r="G59" s="45"/>
      <c r="H59" s="45"/>
      <c r="I59" s="44"/>
      <c r="J59" s="44"/>
      <c r="K59" s="45"/>
      <c r="L59" s="45"/>
      <c r="M59" s="3"/>
      <c r="N59" s="30"/>
      <c r="O59" s="13">
        <v>14</v>
      </c>
      <c r="P59" s="11">
        <v>4900</v>
      </c>
      <c r="Q59" s="11">
        <v>762000</v>
      </c>
      <c r="R59" s="10"/>
      <c r="S59" s="10"/>
      <c r="T59" s="10" t="s">
        <v>163</v>
      </c>
      <c r="U59" s="10"/>
      <c r="V59" s="10"/>
    </row>
    <row r="60" ht="16.5" spans="1:22">
      <c r="A60" s="3"/>
      <c r="B60" s="3"/>
      <c r="C60" s="3"/>
      <c r="D60" s="3"/>
      <c r="E60" s="3"/>
      <c r="F60" s="46"/>
      <c r="G60" s="3"/>
      <c r="H60" s="3"/>
      <c r="I60" s="3"/>
      <c r="J60" s="3"/>
      <c r="K60" s="3"/>
      <c r="L60" s="46"/>
      <c r="M60" s="3"/>
      <c r="N60" s="30"/>
      <c r="O60" s="13">
        <v>15</v>
      </c>
      <c r="P60" s="11">
        <v>5700</v>
      </c>
      <c r="Q60" s="11">
        <v>886200</v>
      </c>
      <c r="R60" s="10"/>
      <c r="S60" s="10"/>
      <c r="T60" s="10" t="s">
        <v>164</v>
      </c>
      <c r="U60" s="10"/>
      <c r="V60" s="10"/>
    </row>
    <row r="61" ht="16.5" spans="1:22">
      <c r="A61" s="3"/>
      <c r="B61" s="3"/>
      <c r="C61" s="3"/>
      <c r="D61" s="3"/>
      <c r="E61" s="3"/>
      <c r="F61" s="46"/>
      <c r="G61" s="3"/>
      <c r="H61" s="3"/>
      <c r="I61" s="3"/>
      <c r="J61" s="3"/>
      <c r="K61" s="3"/>
      <c r="L61" s="46"/>
      <c r="M61" s="3"/>
      <c r="N61" s="30"/>
      <c r="O61" s="13">
        <v>16</v>
      </c>
      <c r="P61" s="11">
        <v>5700</v>
      </c>
      <c r="Q61" s="11">
        <v>886200</v>
      </c>
      <c r="R61" s="10" t="s">
        <v>165</v>
      </c>
      <c r="S61" s="17">
        <f>SUM(Q47:Q65)</f>
        <v>10959000</v>
      </c>
      <c r="T61" s="10" t="s">
        <v>166</v>
      </c>
      <c r="U61" s="10"/>
      <c r="V61" s="10"/>
    </row>
    <row r="62" ht="16.5" spans="1:22">
      <c r="A62" s="3"/>
      <c r="B62" s="3"/>
      <c r="C62" s="3"/>
      <c r="D62" s="3"/>
      <c r="E62" s="3"/>
      <c r="F62" s="46"/>
      <c r="G62" s="3"/>
      <c r="H62" s="3"/>
      <c r="I62" s="3"/>
      <c r="J62" s="3"/>
      <c r="K62" s="3"/>
      <c r="L62" s="46">
        <f>S10+S21+S40+S61</f>
        <v>21447400</v>
      </c>
      <c r="M62" s="3"/>
      <c r="N62" s="30"/>
      <c r="O62" s="13">
        <v>17</v>
      </c>
      <c r="P62" s="11">
        <v>6400</v>
      </c>
      <c r="Q62" s="11">
        <v>994800</v>
      </c>
      <c r="R62" s="10"/>
      <c r="S62" s="18"/>
      <c r="T62" s="10" t="s">
        <v>167</v>
      </c>
      <c r="U62" s="10"/>
      <c r="V62" s="10"/>
    </row>
    <row r="63" ht="16.5" spans="1:22">
      <c r="A63" s="3"/>
      <c r="B63" s="3"/>
      <c r="C63" s="3"/>
      <c r="D63" s="3"/>
      <c r="E63" s="3"/>
      <c r="F63" s="46"/>
      <c r="G63" s="3"/>
      <c r="H63" s="3"/>
      <c r="I63" s="3"/>
      <c r="J63" s="3"/>
      <c r="K63" s="3"/>
      <c r="L63" s="46"/>
      <c r="M63" s="3"/>
      <c r="N63" s="30"/>
      <c r="O63" s="13">
        <v>18</v>
      </c>
      <c r="P63" s="11">
        <v>6400</v>
      </c>
      <c r="Q63" s="11">
        <v>994800</v>
      </c>
      <c r="R63" s="10"/>
      <c r="S63" s="18"/>
      <c r="T63" s="10" t="s">
        <v>168</v>
      </c>
      <c r="U63" s="10"/>
      <c r="V63" s="10"/>
    </row>
    <row r="64" ht="16.5" spans="1:22">
      <c r="A64" s="3"/>
      <c r="B64" s="3"/>
      <c r="C64" s="3"/>
      <c r="D64" s="3"/>
      <c r="E64" s="3"/>
      <c r="F64" s="46"/>
      <c r="G64" s="3"/>
      <c r="H64" s="3"/>
      <c r="I64" s="3"/>
      <c r="J64" s="3"/>
      <c r="K64" s="3"/>
      <c r="L64" s="46"/>
      <c r="M64" s="3"/>
      <c r="N64" s="30"/>
      <c r="O64" s="13">
        <v>19</v>
      </c>
      <c r="P64" s="11">
        <v>7100</v>
      </c>
      <c r="Q64" s="11">
        <v>1104000</v>
      </c>
      <c r="R64" s="10"/>
      <c r="S64" s="18"/>
      <c r="T64" s="10" t="s">
        <v>169</v>
      </c>
      <c r="U64" s="10"/>
      <c r="V64" s="10"/>
    </row>
    <row r="65" ht="16.5" spans="1:22">
      <c r="A65" s="3"/>
      <c r="B65" s="3"/>
      <c r="C65" s="3"/>
      <c r="D65" s="3"/>
      <c r="E65" s="3"/>
      <c r="F65" s="46"/>
      <c r="G65" s="3"/>
      <c r="H65" s="3"/>
      <c r="I65" s="3"/>
      <c r="J65" s="3"/>
      <c r="K65" s="3"/>
      <c r="L65" s="46"/>
      <c r="M65" s="3"/>
      <c r="N65" s="36"/>
      <c r="O65" s="13">
        <v>20</v>
      </c>
      <c r="P65" s="11">
        <v>7100</v>
      </c>
      <c r="Q65" s="11">
        <v>1104000</v>
      </c>
      <c r="R65" s="10" t="s">
        <v>170</v>
      </c>
      <c r="S65" s="19"/>
      <c r="T65" s="10" t="s">
        <v>171</v>
      </c>
      <c r="U65" s="10"/>
      <c r="V65" s="10"/>
    </row>
    <row r="66" ht="16.5" spans="1:22">
      <c r="A66" s="3"/>
      <c r="B66" s="3"/>
      <c r="C66" s="3"/>
      <c r="D66" s="3"/>
      <c r="E66" s="3"/>
      <c r="F66" s="46"/>
      <c r="G66" s="3"/>
      <c r="H66" s="3"/>
      <c r="I66" s="3"/>
      <c r="J66" s="3"/>
      <c r="K66" s="3"/>
      <c r="L66" s="46"/>
      <c r="M66" s="3"/>
      <c r="N66" s="20" t="s">
        <v>8</v>
      </c>
      <c r="O66" s="20"/>
      <c r="P66" s="20" t="s">
        <v>172</v>
      </c>
      <c r="Q66" s="20" t="s">
        <v>7</v>
      </c>
      <c r="R66" s="20"/>
      <c r="S66" s="20" t="s">
        <v>82</v>
      </c>
      <c r="T66" s="20" t="s">
        <v>14</v>
      </c>
      <c r="U66" s="20"/>
      <c r="V66" s="20"/>
    </row>
    <row r="67" ht="16.5" spans="1:22">
      <c r="A67" s="3"/>
      <c r="B67" s="3"/>
      <c r="C67" s="3"/>
      <c r="D67" s="3"/>
      <c r="E67" s="3"/>
      <c r="F67" s="46"/>
      <c r="G67" s="3"/>
      <c r="H67" s="3"/>
      <c r="I67" s="3"/>
      <c r="J67" s="3"/>
      <c r="K67" s="3"/>
      <c r="L67" s="46"/>
      <c r="M67" s="3"/>
      <c r="N67" s="58" t="s">
        <v>173</v>
      </c>
      <c r="O67" s="48"/>
      <c r="P67" s="13">
        <v>1</v>
      </c>
      <c r="Q67" s="10" t="s">
        <v>15</v>
      </c>
      <c r="R67" s="10"/>
      <c r="S67" s="10">
        <v>1</v>
      </c>
      <c r="T67" s="10" t="s">
        <v>174</v>
      </c>
      <c r="U67" s="10"/>
      <c r="V67" s="10"/>
    </row>
    <row r="68" ht="16.5" spans="1:22">
      <c r="A68" s="3"/>
      <c r="B68" s="3"/>
      <c r="C68" s="3"/>
      <c r="D68" s="3"/>
      <c r="E68" s="3"/>
      <c r="F68" s="46"/>
      <c r="G68" s="3"/>
      <c r="H68" s="3"/>
      <c r="I68" s="3"/>
      <c r="J68" s="3"/>
      <c r="K68" s="3"/>
      <c r="L68" s="46"/>
      <c r="M68" s="3"/>
      <c r="N68" s="49"/>
      <c r="O68" s="50"/>
      <c r="P68" s="13">
        <v>10</v>
      </c>
      <c r="Q68" s="10" t="s">
        <v>32</v>
      </c>
      <c r="R68" s="10"/>
      <c r="S68" s="10">
        <v>2</v>
      </c>
      <c r="T68" s="10" t="s">
        <v>175</v>
      </c>
      <c r="U68" s="10"/>
      <c r="V68" s="10"/>
    </row>
    <row r="69" ht="16.5" spans="1:22">
      <c r="A69" s="3"/>
      <c r="B69" s="3"/>
      <c r="C69" s="3"/>
      <c r="D69" s="3"/>
      <c r="E69" s="3"/>
      <c r="F69" s="46"/>
      <c r="G69" s="3"/>
      <c r="H69" s="3"/>
      <c r="I69" s="3"/>
      <c r="J69" s="3"/>
      <c r="K69" s="3"/>
      <c r="L69" s="46"/>
      <c r="M69" s="3"/>
      <c r="N69" s="49"/>
      <c r="O69" s="50"/>
      <c r="P69" s="13">
        <v>20</v>
      </c>
      <c r="Q69" s="10" t="s">
        <v>48</v>
      </c>
      <c r="R69" s="10"/>
      <c r="S69" s="10">
        <v>3</v>
      </c>
      <c r="T69" s="10" t="s">
        <v>176</v>
      </c>
      <c r="U69" s="10"/>
      <c r="V69" s="10"/>
    </row>
    <row r="70" ht="16.5" spans="1:22">
      <c r="A70" s="3"/>
      <c r="B70" s="3"/>
      <c r="C70" s="3"/>
      <c r="D70" s="3"/>
      <c r="E70" s="3"/>
      <c r="F70" s="46"/>
      <c r="G70" s="3"/>
      <c r="H70" s="3"/>
      <c r="I70" s="3"/>
      <c r="J70" s="3"/>
      <c r="K70" s="3"/>
      <c r="L70" s="46"/>
      <c r="M70" s="3"/>
      <c r="N70" s="49"/>
      <c r="O70" s="50"/>
      <c r="P70" s="13">
        <v>30</v>
      </c>
      <c r="Q70" s="10" t="s">
        <v>64</v>
      </c>
      <c r="R70" s="10"/>
      <c r="S70" s="10">
        <v>4</v>
      </c>
      <c r="T70" s="10" t="s">
        <v>177</v>
      </c>
      <c r="U70" s="10"/>
      <c r="V70" s="10"/>
    </row>
    <row r="71" ht="16.5" spans="1:22">
      <c r="A71" s="3"/>
      <c r="B71" s="3"/>
      <c r="C71" s="3"/>
      <c r="D71" s="3"/>
      <c r="E71" s="3"/>
      <c r="F71" s="46"/>
      <c r="G71" s="3"/>
      <c r="H71" s="3"/>
      <c r="I71" s="3"/>
      <c r="J71" s="3"/>
      <c r="K71" s="3"/>
      <c r="L71" s="46"/>
      <c r="M71" s="3"/>
      <c r="N71" s="49"/>
      <c r="O71" s="50"/>
      <c r="P71" s="13">
        <v>40</v>
      </c>
      <c r="Q71" s="10" t="s">
        <v>80</v>
      </c>
      <c r="R71" s="10"/>
      <c r="S71" s="10">
        <v>5</v>
      </c>
      <c r="T71" s="10" t="s">
        <v>178</v>
      </c>
      <c r="U71" s="10"/>
      <c r="V71" s="10"/>
    </row>
    <row r="72" ht="16.5" spans="1:22">
      <c r="A72" s="3"/>
      <c r="B72" s="3"/>
      <c r="C72" s="3"/>
      <c r="D72" s="3"/>
      <c r="E72" s="3"/>
      <c r="F72" s="46"/>
      <c r="G72" s="3"/>
      <c r="H72" s="3"/>
      <c r="I72" s="3"/>
      <c r="J72" s="3"/>
      <c r="K72" s="3"/>
      <c r="L72" s="46"/>
      <c r="M72" s="3"/>
      <c r="N72" s="49"/>
      <c r="O72" s="50"/>
      <c r="P72" s="13">
        <v>50</v>
      </c>
      <c r="Q72" s="10" t="s">
        <v>16</v>
      </c>
      <c r="R72" s="10"/>
      <c r="S72" s="10">
        <v>6</v>
      </c>
      <c r="T72" s="10" t="s">
        <v>179</v>
      </c>
      <c r="U72" s="10"/>
      <c r="V72" s="10"/>
    </row>
    <row r="73" ht="16.5" spans="1:22">
      <c r="A73" s="3"/>
      <c r="B73" s="3"/>
      <c r="C73" s="3"/>
      <c r="D73" s="3"/>
      <c r="E73" s="3"/>
      <c r="F73" s="46"/>
      <c r="G73" s="3"/>
      <c r="H73" s="3"/>
      <c r="I73" s="3"/>
      <c r="J73" s="3"/>
      <c r="K73" s="3"/>
      <c r="L73" s="46"/>
      <c r="M73" s="3"/>
      <c r="N73" s="49"/>
      <c r="O73" s="50"/>
      <c r="P73" s="13">
        <v>60</v>
      </c>
      <c r="Q73" s="10" t="s">
        <v>33</v>
      </c>
      <c r="R73" s="10"/>
      <c r="S73" s="10">
        <v>7</v>
      </c>
      <c r="T73" s="10" t="s">
        <v>180</v>
      </c>
      <c r="U73" s="10"/>
      <c r="V73" s="10"/>
    </row>
    <row r="74" ht="16.5" spans="1:22">
      <c r="A74" s="3"/>
      <c r="B74" s="3"/>
      <c r="C74" s="3"/>
      <c r="D74" s="3"/>
      <c r="E74" s="3"/>
      <c r="F74" s="46"/>
      <c r="G74" s="3"/>
      <c r="H74" s="3"/>
      <c r="I74" s="3"/>
      <c r="J74" s="3"/>
      <c r="K74" s="3"/>
      <c r="L74" s="46"/>
      <c r="M74" s="3"/>
      <c r="N74" s="49"/>
      <c r="O74" s="50"/>
      <c r="P74" s="13">
        <v>70</v>
      </c>
      <c r="Q74" s="10" t="s">
        <v>49</v>
      </c>
      <c r="R74" s="10"/>
      <c r="S74" s="10">
        <v>8</v>
      </c>
      <c r="T74" s="10" t="s">
        <v>181</v>
      </c>
      <c r="U74" s="10"/>
      <c r="V74" s="10"/>
    </row>
    <row r="75" ht="16.5" spans="1:22">
      <c r="A75" s="3"/>
      <c r="B75" s="3"/>
      <c r="C75" s="3"/>
      <c r="D75" s="3"/>
      <c r="E75" s="3"/>
      <c r="F75" s="46"/>
      <c r="G75" s="3"/>
      <c r="H75" s="3"/>
      <c r="I75" s="3"/>
      <c r="J75" s="3"/>
      <c r="K75" s="3"/>
      <c r="L75" s="46"/>
      <c r="M75" s="3"/>
      <c r="N75" s="49"/>
      <c r="O75" s="50"/>
      <c r="P75" s="13">
        <v>80</v>
      </c>
      <c r="Q75" s="10" t="s">
        <v>65</v>
      </c>
      <c r="R75" s="10"/>
      <c r="S75" s="10">
        <v>9</v>
      </c>
      <c r="T75" s="10" t="s">
        <v>182</v>
      </c>
      <c r="U75" s="10"/>
      <c r="V75" s="10"/>
    </row>
    <row r="76" ht="16.5" spans="1:22">
      <c r="A76" s="3"/>
      <c r="B76" s="3"/>
      <c r="C76" s="3"/>
      <c r="D76" s="3"/>
      <c r="E76" s="3"/>
      <c r="F76" s="46"/>
      <c r="G76" s="3"/>
      <c r="H76" s="3"/>
      <c r="I76" s="3"/>
      <c r="J76" s="3"/>
      <c r="K76" s="3"/>
      <c r="L76" s="46"/>
      <c r="M76" s="3"/>
      <c r="N76" s="49"/>
      <c r="O76" s="50"/>
      <c r="P76" s="13">
        <v>90</v>
      </c>
      <c r="Q76" s="10" t="s">
        <v>81</v>
      </c>
      <c r="R76" s="10"/>
      <c r="S76" s="10">
        <v>10</v>
      </c>
      <c r="T76" s="10" t="s">
        <v>183</v>
      </c>
      <c r="U76" s="10"/>
      <c r="V76" s="10"/>
    </row>
    <row r="77" ht="16.5" spans="1:22">
      <c r="A77" s="3"/>
      <c r="B77" s="3"/>
      <c r="C77" s="3"/>
      <c r="D77" s="3"/>
      <c r="E77" s="3"/>
      <c r="F77" s="46"/>
      <c r="G77" s="3"/>
      <c r="H77" s="3"/>
      <c r="I77" s="3"/>
      <c r="J77" s="3"/>
      <c r="K77" s="3"/>
      <c r="L77" s="46"/>
      <c r="M77" s="3"/>
      <c r="N77" s="51"/>
      <c r="O77" s="52"/>
      <c r="P77" s="13">
        <v>100</v>
      </c>
      <c r="Q77" s="10" t="s">
        <v>94</v>
      </c>
      <c r="R77" s="10"/>
      <c r="S77" s="10">
        <v>11</v>
      </c>
      <c r="T77" s="10" t="s">
        <v>184</v>
      </c>
      <c r="U77" s="10"/>
      <c r="V77" s="10"/>
    </row>
    <row r="78" ht="16.5" spans="1:22">
      <c r="A78" s="3"/>
      <c r="B78" s="3"/>
      <c r="C78" s="3"/>
      <c r="D78" s="3"/>
      <c r="E78" s="3"/>
      <c r="F78" s="46"/>
      <c r="G78" s="3"/>
      <c r="H78" s="3"/>
      <c r="I78" s="3"/>
      <c r="J78" s="3"/>
      <c r="K78" s="3"/>
      <c r="L78" s="46"/>
      <c r="M78" s="3"/>
      <c r="N78" s="44" t="s">
        <v>96</v>
      </c>
      <c r="O78" s="44"/>
      <c r="P78" s="45"/>
      <c r="Q78" s="44" t="s">
        <v>10</v>
      </c>
      <c r="R78" s="44">
        <f>S5+S16+S30+S51</f>
        <v>156500</v>
      </c>
      <c r="S78" s="3"/>
      <c r="T78" s="44" t="s">
        <v>11</v>
      </c>
      <c r="U78" s="44">
        <f>S10+S21+S40+S61</f>
        <v>21447400</v>
      </c>
      <c r="V78" s="3"/>
    </row>
    <row r="79" ht="16.5" spans="1:22">
      <c r="A79" s="3"/>
      <c r="B79" s="3"/>
      <c r="C79" s="3"/>
      <c r="D79" s="3"/>
      <c r="E79" s="3"/>
      <c r="F79" s="46"/>
      <c r="G79" s="3"/>
      <c r="H79" s="3"/>
      <c r="I79" s="3"/>
      <c r="J79" s="3"/>
      <c r="K79" s="3"/>
      <c r="L79" s="46"/>
      <c r="M79" s="3"/>
      <c r="N79" s="44"/>
      <c r="O79" s="44"/>
      <c r="P79" s="45"/>
      <c r="Q79" s="44"/>
      <c r="R79" s="44"/>
      <c r="S79" s="3"/>
      <c r="T79" s="44"/>
      <c r="U79" s="44"/>
      <c r="V79" s="3"/>
    </row>
  </sheetData>
  <mergeCells count="150">
    <mergeCell ref="A1:B1"/>
    <mergeCell ref="C1:L1"/>
    <mergeCell ref="N1:O1"/>
    <mergeCell ref="P1:V1"/>
    <mergeCell ref="T2:V2"/>
    <mergeCell ref="T3:V3"/>
    <mergeCell ref="T4:V4"/>
    <mergeCell ref="T5:V5"/>
    <mergeCell ref="T6:V6"/>
    <mergeCell ref="T7:V7"/>
    <mergeCell ref="T8:V8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0:V60"/>
    <mergeCell ref="T61:V61"/>
    <mergeCell ref="T62:V62"/>
    <mergeCell ref="T63:V63"/>
    <mergeCell ref="T64:V64"/>
    <mergeCell ref="T65:V65"/>
    <mergeCell ref="N66:O66"/>
    <mergeCell ref="Q66:R66"/>
    <mergeCell ref="T66:V66"/>
    <mergeCell ref="Q67:R67"/>
    <mergeCell ref="T67:V67"/>
    <mergeCell ref="Q68:R68"/>
    <mergeCell ref="T68:V68"/>
    <mergeCell ref="Q69:R69"/>
    <mergeCell ref="T69:V69"/>
    <mergeCell ref="Q70:R70"/>
    <mergeCell ref="T70:V70"/>
    <mergeCell ref="Q71:R71"/>
    <mergeCell ref="T71:V71"/>
    <mergeCell ref="Q72:R72"/>
    <mergeCell ref="T72:V72"/>
    <mergeCell ref="Q73:R73"/>
    <mergeCell ref="T73:V73"/>
    <mergeCell ref="Q74:R74"/>
    <mergeCell ref="T74:V74"/>
    <mergeCell ref="Q75:R75"/>
    <mergeCell ref="T75:V75"/>
    <mergeCell ref="Q76:R76"/>
    <mergeCell ref="T76:V76"/>
    <mergeCell ref="Q77:R77"/>
    <mergeCell ref="T77:V77"/>
    <mergeCell ref="E3:E12"/>
    <mergeCell ref="E14:E23"/>
    <mergeCell ref="E25:E34"/>
    <mergeCell ref="E36:E45"/>
    <mergeCell ref="E47:E56"/>
    <mergeCell ref="E58:E59"/>
    <mergeCell ref="F3:F12"/>
    <mergeCell ref="F13:F23"/>
    <mergeCell ref="F24:F34"/>
    <mergeCell ref="F35:F45"/>
    <mergeCell ref="F46:F56"/>
    <mergeCell ref="F58:F59"/>
    <mergeCell ref="I58:I59"/>
    <mergeCell ref="J58:J59"/>
    <mergeCell ref="K3:K12"/>
    <mergeCell ref="K14:K23"/>
    <mergeCell ref="K25:K34"/>
    <mergeCell ref="K36:K45"/>
    <mergeCell ref="K47:K56"/>
    <mergeCell ref="L3:L12"/>
    <mergeCell ref="L13:L23"/>
    <mergeCell ref="L24:L34"/>
    <mergeCell ref="L35:L45"/>
    <mergeCell ref="L46:L56"/>
    <mergeCell ref="N3:N12"/>
    <mergeCell ref="N14:N23"/>
    <mergeCell ref="N25:N44"/>
    <mergeCell ref="N46:N65"/>
    <mergeCell ref="P78:P79"/>
    <mergeCell ref="Q78:Q79"/>
    <mergeCell ref="R78:R79"/>
    <mergeCell ref="S3:S4"/>
    <mergeCell ref="S5:S7"/>
    <mergeCell ref="S8:S9"/>
    <mergeCell ref="S10:S12"/>
    <mergeCell ref="S14:S15"/>
    <mergeCell ref="S16:S18"/>
    <mergeCell ref="S19:S20"/>
    <mergeCell ref="S21:S23"/>
    <mergeCell ref="S25:S29"/>
    <mergeCell ref="S30:S34"/>
    <mergeCell ref="S35:S39"/>
    <mergeCell ref="S40:S44"/>
    <mergeCell ref="S46:S50"/>
    <mergeCell ref="S51:S55"/>
    <mergeCell ref="S56:S60"/>
    <mergeCell ref="S61:S65"/>
    <mergeCell ref="S78:S79"/>
    <mergeCell ref="T78:T79"/>
    <mergeCell ref="U78:U79"/>
    <mergeCell ref="V78:V79"/>
    <mergeCell ref="A58:B59"/>
    <mergeCell ref="C58:D59"/>
    <mergeCell ref="G58:H59"/>
    <mergeCell ref="K58:L59"/>
    <mergeCell ref="N67:O77"/>
    <mergeCell ref="N78:O7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9"/>
  <sheetViews>
    <sheetView zoomScale="70" zoomScaleNormal="70" topLeftCell="A22" workbookViewId="0">
      <selection activeCell="O69" sqref="O69"/>
    </sheetView>
  </sheetViews>
  <sheetFormatPr defaultColWidth="8.72727272727273" defaultRowHeight="14"/>
  <cols>
    <col min="19" max="19" width="15.4545454545455" customWidth="1"/>
    <col min="21" max="21" width="23.9" customWidth="1"/>
    <col min="22" max="22" width="32.9909090909091" customWidth="1"/>
  </cols>
  <sheetData>
    <row r="1" ht="36.5" spans="1:22">
      <c r="A1" s="1" t="s">
        <v>0</v>
      </c>
      <c r="B1" s="1"/>
      <c r="C1" s="2" t="s">
        <v>185</v>
      </c>
      <c r="D1" s="2"/>
      <c r="E1" s="2"/>
      <c r="F1" s="2"/>
      <c r="G1" s="2"/>
      <c r="H1" s="2"/>
      <c r="I1" s="2"/>
      <c r="J1" s="2"/>
      <c r="K1" s="2"/>
      <c r="L1" s="2"/>
      <c r="M1" s="2"/>
      <c r="N1" s="1" t="s">
        <v>0</v>
      </c>
      <c r="O1" s="1"/>
      <c r="P1" s="2" t="s">
        <v>185</v>
      </c>
      <c r="Q1" s="2"/>
      <c r="R1" s="2"/>
      <c r="S1" s="2"/>
      <c r="T1" s="2"/>
      <c r="U1" s="2"/>
      <c r="V1" s="2"/>
    </row>
    <row r="2" ht="33" spans="1:22">
      <c r="A2" s="7" t="s">
        <v>2</v>
      </c>
      <c r="B2" s="7" t="s">
        <v>3</v>
      </c>
      <c r="C2" s="7" t="s">
        <v>4</v>
      </c>
      <c r="D2" s="8" t="s">
        <v>186</v>
      </c>
      <c r="E2" s="7" t="s">
        <v>6</v>
      </c>
      <c r="F2" s="7" t="s">
        <v>7</v>
      </c>
      <c r="G2" s="7" t="s">
        <v>2</v>
      </c>
      <c r="H2" s="7" t="s">
        <v>3</v>
      </c>
      <c r="I2" s="7" t="s">
        <v>4</v>
      </c>
      <c r="J2" s="8" t="s">
        <v>186</v>
      </c>
      <c r="K2" s="7" t="s">
        <v>6</v>
      </c>
      <c r="L2" s="7" t="s">
        <v>7</v>
      </c>
      <c r="M2" s="9"/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/>
      <c r="V2" s="7"/>
    </row>
    <row r="3" ht="16.5" spans="1:22">
      <c r="A3" s="10">
        <v>1</v>
      </c>
      <c r="B3" s="11">
        <v>1000</v>
      </c>
      <c r="C3" s="10"/>
      <c r="D3" s="12">
        <v>0.0158</v>
      </c>
      <c r="E3" s="10"/>
      <c r="F3" s="13" t="s">
        <v>15</v>
      </c>
      <c r="G3" s="10">
        <v>51</v>
      </c>
      <c r="H3" s="11">
        <v>1500</v>
      </c>
      <c r="I3" s="11">
        <f>H3+C56</f>
        <v>36940</v>
      </c>
      <c r="J3" s="12">
        <v>0.0833</v>
      </c>
      <c r="K3" s="10"/>
      <c r="L3" s="13" t="s">
        <v>16</v>
      </c>
      <c r="M3" s="3"/>
      <c r="N3" s="14" t="s">
        <v>187</v>
      </c>
      <c r="O3" s="13">
        <v>1</v>
      </c>
      <c r="P3" s="10"/>
      <c r="Q3" s="10"/>
      <c r="R3" s="10"/>
      <c r="S3" s="10" t="s">
        <v>10</v>
      </c>
      <c r="T3" s="15" t="s">
        <v>188</v>
      </c>
      <c r="U3" s="10"/>
      <c r="V3" s="10"/>
    </row>
    <row r="4" ht="16.5" spans="1:22">
      <c r="A4" s="10">
        <v>2</v>
      </c>
      <c r="B4" s="11">
        <v>200</v>
      </c>
      <c r="C4" s="11">
        <f>B3+B4</f>
        <v>1200</v>
      </c>
      <c r="D4" s="12">
        <v>0.0165</v>
      </c>
      <c r="E4" s="10"/>
      <c r="F4" s="13"/>
      <c r="G4" s="11">
        <v>52</v>
      </c>
      <c r="H4" s="11">
        <v>1550</v>
      </c>
      <c r="I4" s="11">
        <f t="shared" ref="I4:I12" si="0">H4+I3</f>
        <v>38490</v>
      </c>
      <c r="J4" s="12">
        <v>0.084</v>
      </c>
      <c r="K4" s="10"/>
      <c r="L4" s="13"/>
      <c r="M4" s="3"/>
      <c r="N4" s="16"/>
      <c r="O4" s="13">
        <v>2</v>
      </c>
      <c r="P4" s="11">
        <v>70</v>
      </c>
      <c r="Q4" s="11">
        <v>3600</v>
      </c>
      <c r="R4" s="10"/>
      <c r="S4" s="10"/>
      <c r="T4" s="15" t="s">
        <v>189</v>
      </c>
      <c r="U4" s="10"/>
      <c r="V4" s="10"/>
    </row>
    <row r="5" ht="16.5" spans="1:22">
      <c r="A5" s="10">
        <v>3</v>
      </c>
      <c r="B5" s="11">
        <v>210</v>
      </c>
      <c r="C5" s="11">
        <f t="shared" ref="C5:C12" si="1">B5+C4</f>
        <v>1410</v>
      </c>
      <c r="D5" s="12">
        <v>0.0173</v>
      </c>
      <c r="E5" s="10"/>
      <c r="F5" s="13"/>
      <c r="G5" s="11">
        <v>53</v>
      </c>
      <c r="H5" s="11">
        <v>1600</v>
      </c>
      <c r="I5" s="11">
        <f t="shared" si="0"/>
        <v>40090</v>
      </c>
      <c r="J5" s="12">
        <v>0.0848</v>
      </c>
      <c r="K5" s="10"/>
      <c r="L5" s="13"/>
      <c r="M5" s="3"/>
      <c r="N5" s="16"/>
      <c r="O5" s="13">
        <v>3</v>
      </c>
      <c r="P5" s="11">
        <v>140</v>
      </c>
      <c r="Q5" s="11">
        <v>7200</v>
      </c>
      <c r="R5" s="10"/>
      <c r="S5" s="17">
        <f>SUM(P4:P12)</f>
        <v>3150</v>
      </c>
      <c r="T5" s="15" t="s">
        <v>190</v>
      </c>
      <c r="U5" s="10"/>
      <c r="V5" s="10"/>
    </row>
    <row r="6" ht="16.5" spans="1:22">
      <c r="A6" s="10">
        <v>4</v>
      </c>
      <c r="B6" s="11">
        <v>220</v>
      </c>
      <c r="C6" s="11">
        <f t="shared" si="1"/>
        <v>1630</v>
      </c>
      <c r="D6" s="12">
        <v>0.018</v>
      </c>
      <c r="E6" s="10"/>
      <c r="F6" s="13"/>
      <c r="G6" s="11">
        <v>54</v>
      </c>
      <c r="H6" s="11">
        <v>1650</v>
      </c>
      <c r="I6" s="11">
        <f t="shared" si="0"/>
        <v>41740</v>
      </c>
      <c r="J6" s="12">
        <v>0.0855333333333333</v>
      </c>
      <c r="K6" s="10"/>
      <c r="L6" s="13"/>
      <c r="M6" s="3"/>
      <c r="N6" s="16"/>
      <c r="O6" s="13">
        <v>4</v>
      </c>
      <c r="P6" s="11">
        <v>210</v>
      </c>
      <c r="Q6" s="11">
        <v>10800</v>
      </c>
      <c r="R6" s="10"/>
      <c r="S6" s="18"/>
      <c r="T6" s="15" t="s">
        <v>191</v>
      </c>
      <c r="U6" s="10"/>
      <c r="V6" s="10"/>
    </row>
    <row r="7" ht="16.5" spans="1:22">
      <c r="A7" s="10">
        <v>5</v>
      </c>
      <c r="B7" s="11">
        <v>230</v>
      </c>
      <c r="C7" s="11">
        <f t="shared" si="1"/>
        <v>1860</v>
      </c>
      <c r="D7" s="12">
        <v>0.0188</v>
      </c>
      <c r="E7" s="10"/>
      <c r="F7" s="13"/>
      <c r="G7" s="11">
        <v>55</v>
      </c>
      <c r="H7" s="11">
        <v>1700</v>
      </c>
      <c r="I7" s="11">
        <f t="shared" si="0"/>
        <v>43440</v>
      </c>
      <c r="J7" s="12">
        <v>0.0862833333333333</v>
      </c>
      <c r="K7" s="10"/>
      <c r="L7" s="13"/>
      <c r="M7" s="3"/>
      <c r="N7" s="16"/>
      <c r="O7" s="13">
        <v>5</v>
      </c>
      <c r="P7" s="11">
        <v>280</v>
      </c>
      <c r="Q7" s="11">
        <v>14400</v>
      </c>
      <c r="R7" s="10"/>
      <c r="S7" s="19"/>
      <c r="T7" s="15" t="s">
        <v>192</v>
      </c>
      <c r="U7" s="10"/>
      <c r="V7" s="10"/>
    </row>
    <row r="8" ht="16.5" spans="1:22">
      <c r="A8" s="10">
        <v>6</v>
      </c>
      <c r="B8" s="11">
        <v>240</v>
      </c>
      <c r="C8" s="11">
        <f t="shared" si="1"/>
        <v>2100</v>
      </c>
      <c r="D8" s="12">
        <v>0.0195</v>
      </c>
      <c r="E8" s="10"/>
      <c r="F8" s="13"/>
      <c r="G8" s="11">
        <v>56</v>
      </c>
      <c r="H8" s="11">
        <v>1750</v>
      </c>
      <c r="I8" s="11">
        <f t="shared" si="0"/>
        <v>45190</v>
      </c>
      <c r="J8" s="12">
        <v>0.0870333333333333</v>
      </c>
      <c r="K8" s="10"/>
      <c r="L8" s="13"/>
      <c r="M8" s="3"/>
      <c r="N8" s="16"/>
      <c r="O8" s="13">
        <v>6</v>
      </c>
      <c r="P8" s="11">
        <v>350</v>
      </c>
      <c r="Q8" s="11">
        <v>18000</v>
      </c>
      <c r="R8" s="10"/>
      <c r="S8" s="10" t="s">
        <v>11</v>
      </c>
      <c r="T8" s="15" t="s">
        <v>193</v>
      </c>
      <c r="U8" s="10"/>
      <c r="V8" s="10"/>
    </row>
    <row r="9" ht="16.5" spans="1:22">
      <c r="A9" s="10">
        <v>7</v>
      </c>
      <c r="B9" s="11">
        <v>260</v>
      </c>
      <c r="C9" s="11">
        <f t="shared" si="1"/>
        <v>2360</v>
      </c>
      <c r="D9" s="12">
        <v>0.0203</v>
      </c>
      <c r="E9" s="10"/>
      <c r="F9" s="13"/>
      <c r="G9" s="11">
        <v>57</v>
      </c>
      <c r="H9" s="11">
        <v>1800</v>
      </c>
      <c r="I9" s="11">
        <f t="shared" si="0"/>
        <v>46990</v>
      </c>
      <c r="J9" s="12">
        <v>0.0877833333333333</v>
      </c>
      <c r="K9" s="10"/>
      <c r="L9" s="13"/>
      <c r="M9" s="3"/>
      <c r="N9" s="16"/>
      <c r="O9" s="13">
        <v>7</v>
      </c>
      <c r="P9" s="11">
        <v>420</v>
      </c>
      <c r="Q9" s="11">
        <v>21600</v>
      </c>
      <c r="R9" s="10"/>
      <c r="S9" s="10"/>
      <c r="T9" s="15" t="s">
        <v>194</v>
      </c>
      <c r="U9" s="10"/>
      <c r="V9" s="10"/>
    </row>
    <row r="10" ht="16.5" spans="1:22">
      <c r="A10" s="10">
        <v>8</v>
      </c>
      <c r="B10" s="11">
        <v>280</v>
      </c>
      <c r="C10" s="11">
        <f t="shared" si="1"/>
        <v>2640</v>
      </c>
      <c r="D10" s="12">
        <v>0.021</v>
      </c>
      <c r="E10" s="10"/>
      <c r="F10" s="13"/>
      <c r="G10" s="11">
        <v>58</v>
      </c>
      <c r="H10" s="11">
        <v>1850</v>
      </c>
      <c r="I10" s="11">
        <f t="shared" si="0"/>
        <v>48840</v>
      </c>
      <c r="J10" s="12">
        <v>0.0885333333333333</v>
      </c>
      <c r="K10" s="10"/>
      <c r="L10" s="13"/>
      <c r="M10" s="3"/>
      <c r="N10" s="16"/>
      <c r="O10" s="13">
        <v>8</v>
      </c>
      <c r="P10" s="11">
        <v>490</v>
      </c>
      <c r="Q10" s="11">
        <v>25200</v>
      </c>
      <c r="R10" s="10"/>
      <c r="S10" s="17">
        <f>SUM(Q4:Q12)</f>
        <v>162000</v>
      </c>
      <c r="T10" s="15" t="s">
        <v>195</v>
      </c>
      <c r="U10" s="10"/>
      <c r="V10" s="10"/>
    </row>
    <row r="11" ht="16.5" spans="1:22">
      <c r="A11" s="10">
        <v>9</v>
      </c>
      <c r="B11" s="11">
        <v>300</v>
      </c>
      <c r="C11" s="11">
        <f t="shared" si="1"/>
        <v>2940</v>
      </c>
      <c r="D11" s="12">
        <v>0.0218</v>
      </c>
      <c r="E11" s="10"/>
      <c r="F11" s="13"/>
      <c r="G11" s="11">
        <v>59</v>
      </c>
      <c r="H11" s="11">
        <v>1900</v>
      </c>
      <c r="I11" s="11">
        <f t="shared" si="0"/>
        <v>50740</v>
      </c>
      <c r="J11" s="12">
        <v>0.0892833333333333</v>
      </c>
      <c r="K11" s="10"/>
      <c r="L11" s="13"/>
      <c r="M11" s="3"/>
      <c r="N11" s="16"/>
      <c r="O11" s="13">
        <v>9</v>
      </c>
      <c r="P11" s="11">
        <v>560</v>
      </c>
      <c r="Q11" s="11">
        <v>28800</v>
      </c>
      <c r="R11" s="10"/>
      <c r="S11" s="18"/>
      <c r="T11" s="15" t="s">
        <v>196</v>
      </c>
      <c r="U11" s="10"/>
      <c r="V11" s="10"/>
    </row>
    <row r="12" ht="16.5" spans="1:22">
      <c r="A12" s="10">
        <v>10</v>
      </c>
      <c r="B12" s="11">
        <v>320</v>
      </c>
      <c r="C12" s="11">
        <f t="shared" si="1"/>
        <v>3260</v>
      </c>
      <c r="D12" s="12">
        <v>0.0225</v>
      </c>
      <c r="E12" s="10"/>
      <c r="F12" s="13"/>
      <c r="G12" s="11">
        <v>60</v>
      </c>
      <c r="H12" s="11">
        <v>1950</v>
      </c>
      <c r="I12" s="11">
        <f t="shared" si="0"/>
        <v>52690</v>
      </c>
      <c r="J12" s="12">
        <v>0.09</v>
      </c>
      <c r="K12" s="10"/>
      <c r="L12" s="13"/>
      <c r="M12" s="3"/>
      <c r="N12" s="16"/>
      <c r="O12" s="13">
        <v>10</v>
      </c>
      <c r="P12" s="11">
        <v>630</v>
      </c>
      <c r="Q12" s="11">
        <v>32400</v>
      </c>
      <c r="R12" s="10"/>
      <c r="S12" s="19"/>
      <c r="T12" s="15" t="s">
        <v>197</v>
      </c>
      <c r="U12" s="10"/>
      <c r="V12" s="10"/>
    </row>
    <row r="13" ht="16.5" spans="1:22">
      <c r="A13" s="10" t="s">
        <v>31</v>
      </c>
      <c r="B13" s="11"/>
      <c r="C13" s="11"/>
      <c r="D13" s="12">
        <v>0.0285</v>
      </c>
      <c r="E13" s="10">
        <v>5</v>
      </c>
      <c r="F13" s="13" t="s">
        <v>32</v>
      </c>
      <c r="G13" s="11" t="s">
        <v>31</v>
      </c>
      <c r="H13" s="11"/>
      <c r="I13" s="11"/>
      <c r="J13" s="12">
        <v>0.096</v>
      </c>
      <c r="K13" s="10">
        <v>30</v>
      </c>
      <c r="L13" s="13" t="s">
        <v>33</v>
      </c>
      <c r="M13" s="3"/>
      <c r="N13" s="7" t="s">
        <v>8</v>
      </c>
      <c r="O13" s="20" t="s">
        <v>2</v>
      </c>
      <c r="P13" s="20" t="s">
        <v>10</v>
      </c>
      <c r="Q13" s="20" t="s">
        <v>11</v>
      </c>
      <c r="R13" s="20" t="s">
        <v>12</v>
      </c>
      <c r="S13" s="20" t="s">
        <v>13</v>
      </c>
      <c r="T13" s="20" t="s">
        <v>14</v>
      </c>
      <c r="U13" s="20"/>
      <c r="V13" s="20"/>
    </row>
    <row r="14" ht="16.5" spans="1:22">
      <c r="A14" s="10">
        <v>11</v>
      </c>
      <c r="B14" s="11">
        <v>340</v>
      </c>
      <c r="C14" s="11">
        <f>B14+C12</f>
        <v>3600</v>
      </c>
      <c r="D14" s="12">
        <v>0.0293</v>
      </c>
      <c r="E14" s="10"/>
      <c r="F14" s="13"/>
      <c r="G14" s="11">
        <v>61</v>
      </c>
      <c r="H14" s="11">
        <v>2000</v>
      </c>
      <c r="I14" s="11">
        <f>H14+I12</f>
        <v>54690</v>
      </c>
      <c r="J14" s="12">
        <v>0.0968</v>
      </c>
      <c r="K14" s="10"/>
      <c r="L14" s="13"/>
      <c r="M14" s="3"/>
      <c r="N14" s="14" t="s">
        <v>198</v>
      </c>
      <c r="O14" s="13">
        <v>1</v>
      </c>
      <c r="P14" s="10"/>
      <c r="Q14" s="10"/>
      <c r="R14" s="10"/>
      <c r="S14" s="10" t="s">
        <v>10</v>
      </c>
      <c r="T14" s="15" t="s">
        <v>199</v>
      </c>
      <c r="U14" s="10"/>
      <c r="V14" s="10"/>
    </row>
    <row r="15" ht="16.5" spans="1:22">
      <c r="A15" s="10">
        <v>12</v>
      </c>
      <c r="B15" s="11">
        <v>360</v>
      </c>
      <c r="C15" s="11">
        <f t="shared" ref="C15:C23" si="2">B15+C14</f>
        <v>3960</v>
      </c>
      <c r="D15" s="12">
        <v>0.03</v>
      </c>
      <c r="E15" s="10"/>
      <c r="F15" s="13"/>
      <c r="G15" s="11">
        <v>62</v>
      </c>
      <c r="H15" s="11">
        <v>2050</v>
      </c>
      <c r="I15" s="11">
        <f t="shared" ref="I15:I23" si="3">H15+I14</f>
        <v>56740</v>
      </c>
      <c r="J15" s="12">
        <v>0.0975</v>
      </c>
      <c r="K15" s="10"/>
      <c r="L15" s="13"/>
      <c r="M15" s="3"/>
      <c r="N15" s="16"/>
      <c r="O15" s="13">
        <v>2</v>
      </c>
      <c r="P15" s="11">
        <v>400</v>
      </c>
      <c r="Q15" s="11">
        <v>27600</v>
      </c>
      <c r="R15" s="10"/>
      <c r="S15" s="10"/>
      <c r="T15" s="15" t="s">
        <v>200</v>
      </c>
      <c r="U15" s="10"/>
      <c r="V15" s="10"/>
    </row>
    <row r="16" ht="16.5" spans="1:22">
      <c r="A16" s="10">
        <v>13</v>
      </c>
      <c r="B16" s="11">
        <v>380</v>
      </c>
      <c r="C16" s="11">
        <f t="shared" si="2"/>
        <v>4340</v>
      </c>
      <c r="D16" s="12">
        <v>0.0308</v>
      </c>
      <c r="E16" s="10"/>
      <c r="F16" s="13"/>
      <c r="G16" s="11">
        <v>63</v>
      </c>
      <c r="H16" s="11">
        <v>2100</v>
      </c>
      <c r="I16" s="11">
        <f t="shared" si="3"/>
        <v>58840</v>
      </c>
      <c r="J16" s="12">
        <v>0.0983</v>
      </c>
      <c r="K16" s="10"/>
      <c r="L16" s="13"/>
      <c r="M16" s="3"/>
      <c r="N16" s="16"/>
      <c r="O16" s="13">
        <v>3</v>
      </c>
      <c r="P16" s="11">
        <v>800</v>
      </c>
      <c r="Q16" s="11">
        <v>55200</v>
      </c>
      <c r="R16" s="10"/>
      <c r="S16" s="17">
        <f>SUM(P15:P23)</f>
        <v>6000</v>
      </c>
      <c r="T16" s="15" t="s">
        <v>201</v>
      </c>
      <c r="U16" s="10"/>
      <c r="V16" s="10"/>
    </row>
    <row r="17" ht="16.5" spans="1:22">
      <c r="A17" s="10">
        <v>14</v>
      </c>
      <c r="B17" s="11">
        <v>400</v>
      </c>
      <c r="C17" s="11">
        <f t="shared" si="2"/>
        <v>4740</v>
      </c>
      <c r="D17" s="12">
        <v>0.0315333333333333</v>
      </c>
      <c r="E17" s="10"/>
      <c r="F17" s="13"/>
      <c r="G17" s="11">
        <v>64</v>
      </c>
      <c r="H17" s="11">
        <v>2150</v>
      </c>
      <c r="I17" s="11">
        <f t="shared" si="3"/>
        <v>60990</v>
      </c>
      <c r="J17" s="12">
        <v>0.0990333333333333</v>
      </c>
      <c r="K17" s="10"/>
      <c r="L17" s="13"/>
      <c r="M17" s="3"/>
      <c r="N17" s="16"/>
      <c r="O17" s="13">
        <v>4</v>
      </c>
      <c r="P17" s="11">
        <v>1600</v>
      </c>
      <c r="Q17" s="11">
        <v>110400</v>
      </c>
      <c r="R17" s="10"/>
      <c r="S17" s="18"/>
      <c r="T17" s="15" t="s">
        <v>202</v>
      </c>
      <c r="U17" s="10"/>
      <c r="V17" s="10"/>
    </row>
    <row r="18" ht="16.5" spans="1:22">
      <c r="A18" s="10">
        <v>15</v>
      </c>
      <c r="B18" s="11">
        <v>420</v>
      </c>
      <c r="C18" s="11">
        <f t="shared" si="2"/>
        <v>5160</v>
      </c>
      <c r="D18" s="12">
        <v>0.0322833333333333</v>
      </c>
      <c r="E18" s="10"/>
      <c r="F18" s="13"/>
      <c r="G18" s="11">
        <v>65</v>
      </c>
      <c r="H18" s="11">
        <v>2200</v>
      </c>
      <c r="I18" s="11">
        <f t="shared" si="3"/>
        <v>63190</v>
      </c>
      <c r="J18" s="12">
        <v>0.0997833333333333</v>
      </c>
      <c r="K18" s="10"/>
      <c r="L18" s="13"/>
      <c r="M18" s="3"/>
      <c r="N18" s="16"/>
      <c r="O18" s="13">
        <v>5</v>
      </c>
      <c r="P18" s="11">
        <v>3200</v>
      </c>
      <c r="Q18" s="11">
        <v>220800</v>
      </c>
      <c r="R18" s="10"/>
      <c r="S18" s="19"/>
      <c r="T18" s="15" t="s">
        <v>203</v>
      </c>
      <c r="U18" s="10"/>
      <c r="V18" s="10"/>
    </row>
    <row r="19" ht="16.5" spans="1:22">
      <c r="A19" s="10">
        <v>16</v>
      </c>
      <c r="B19" s="11">
        <v>440</v>
      </c>
      <c r="C19" s="11">
        <f t="shared" si="2"/>
        <v>5600</v>
      </c>
      <c r="D19" s="12">
        <v>0.0330333333333333</v>
      </c>
      <c r="E19" s="10"/>
      <c r="F19" s="13"/>
      <c r="G19" s="11">
        <v>66</v>
      </c>
      <c r="H19" s="11">
        <v>2250</v>
      </c>
      <c r="I19" s="11">
        <f t="shared" si="3"/>
        <v>65440</v>
      </c>
      <c r="J19" s="12">
        <v>0.100533333333333</v>
      </c>
      <c r="K19" s="10"/>
      <c r="L19" s="13"/>
      <c r="M19" s="3"/>
      <c r="N19" s="16"/>
      <c r="O19" s="13"/>
      <c r="P19" s="10"/>
      <c r="Q19" s="10"/>
      <c r="R19" s="10"/>
      <c r="S19" s="10" t="s">
        <v>11</v>
      </c>
      <c r="T19" s="10"/>
      <c r="U19" s="10"/>
      <c r="V19" s="10"/>
    </row>
    <row r="20" ht="16.5" spans="1:22">
      <c r="A20" s="10">
        <v>17</v>
      </c>
      <c r="B20" s="11">
        <v>460</v>
      </c>
      <c r="C20" s="11">
        <f t="shared" si="2"/>
        <v>6060</v>
      </c>
      <c r="D20" s="12">
        <v>0.0337833333333333</v>
      </c>
      <c r="E20" s="10"/>
      <c r="F20" s="13"/>
      <c r="G20" s="11">
        <v>67</v>
      </c>
      <c r="H20" s="11">
        <v>2300</v>
      </c>
      <c r="I20" s="11">
        <f t="shared" si="3"/>
        <v>67740</v>
      </c>
      <c r="J20" s="12">
        <v>0.101283333333333</v>
      </c>
      <c r="K20" s="10"/>
      <c r="L20" s="13"/>
      <c r="M20" s="3"/>
      <c r="N20" s="16"/>
      <c r="O20" s="13"/>
      <c r="P20" s="10"/>
      <c r="Q20" s="10"/>
      <c r="R20" s="10"/>
      <c r="S20" s="10"/>
      <c r="T20" s="10"/>
      <c r="U20" s="10"/>
      <c r="V20" s="10"/>
    </row>
    <row r="21" ht="16.5" spans="1:22">
      <c r="A21" s="10">
        <v>18</v>
      </c>
      <c r="B21" s="11">
        <v>480</v>
      </c>
      <c r="C21" s="11">
        <f t="shared" si="2"/>
        <v>6540</v>
      </c>
      <c r="D21" s="12">
        <v>0.0345333333333333</v>
      </c>
      <c r="E21" s="10"/>
      <c r="F21" s="13"/>
      <c r="G21" s="11">
        <v>68</v>
      </c>
      <c r="H21" s="11">
        <v>2350</v>
      </c>
      <c r="I21" s="11">
        <f t="shared" si="3"/>
        <v>70090</v>
      </c>
      <c r="J21" s="12">
        <v>0.102033333333333</v>
      </c>
      <c r="K21" s="10"/>
      <c r="L21" s="13"/>
      <c r="M21" s="3"/>
      <c r="N21" s="16"/>
      <c r="O21" s="13"/>
      <c r="P21" s="10"/>
      <c r="Q21" s="10"/>
      <c r="R21" s="10"/>
      <c r="S21" s="17">
        <f>SUM(Q15:Q23)</f>
        <v>414000</v>
      </c>
      <c r="T21" s="10"/>
      <c r="U21" s="10"/>
      <c r="V21" s="10"/>
    </row>
    <row r="22" ht="16.5" spans="1:22">
      <c r="A22" s="10">
        <v>19</v>
      </c>
      <c r="B22" s="11">
        <v>500</v>
      </c>
      <c r="C22" s="11">
        <f t="shared" si="2"/>
        <v>7040</v>
      </c>
      <c r="D22" s="12">
        <v>0.0352833333333333</v>
      </c>
      <c r="E22" s="10"/>
      <c r="F22" s="13"/>
      <c r="G22" s="11">
        <v>69</v>
      </c>
      <c r="H22" s="11">
        <v>2400</v>
      </c>
      <c r="I22" s="11">
        <f t="shared" si="3"/>
        <v>72490</v>
      </c>
      <c r="J22" s="12">
        <v>0.102783333333333</v>
      </c>
      <c r="K22" s="10"/>
      <c r="L22" s="13"/>
      <c r="M22" s="3"/>
      <c r="N22" s="16"/>
      <c r="O22" s="13"/>
      <c r="P22" s="10"/>
      <c r="Q22" s="10"/>
      <c r="R22" s="10"/>
      <c r="S22" s="18"/>
      <c r="T22" s="10"/>
      <c r="U22" s="10"/>
      <c r="V22" s="10"/>
    </row>
    <row r="23" ht="16.5" spans="1:22">
      <c r="A23" s="10">
        <v>20</v>
      </c>
      <c r="B23" s="11">
        <v>520</v>
      </c>
      <c r="C23" s="11">
        <f t="shared" si="2"/>
        <v>7560</v>
      </c>
      <c r="D23" s="12">
        <v>0.036</v>
      </c>
      <c r="E23" s="10"/>
      <c r="F23" s="13"/>
      <c r="G23" s="11">
        <v>70</v>
      </c>
      <c r="H23" s="11">
        <v>2450</v>
      </c>
      <c r="I23" s="11">
        <f t="shared" si="3"/>
        <v>74940</v>
      </c>
      <c r="J23" s="12">
        <v>0.1035</v>
      </c>
      <c r="K23" s="10"/>
      <c r="L23" s="13"/>
      <c r="M23" s="3"/>
      <c r="N23" s="16"/>
      <c r="O23" s="13"/>
      <c r="P23" s="10"/>
      <c r="Q23" s="10"/>
      <c r="R23" s="10"/>
      <c r="S23" s="19"/>
      <c r="T23" s="10"/>
      <c r="U23" s="10"/>
      <c r="V23" s="10"/>
    </row>
    <row r="24" ht="16.5" spans="1:22">
      <c r="A24" s="10" t="s">
        <v>31</v>
      </c>
      <c r="B24" s="11"/>
      <c r="C24" s="11"/>
      <c r="D24" s="12">
        <v>0.042</v>
      </c>
      <c r="E24" s="10">
        <v>10</v>
      </c>
      <c r="F24" s="13" t="s">
        <v>48</v>
      </c>
      <c r="G24" s="11" t="s">
        <v>31</v>
      </c>
      <c r="H24" s="11"/>
      <c r="I24" s="11"/>
      <c r="J24" s="12">
        <v>0.1095</v>
      </c>
      <c r="K24" s="10">
        <v>35</v>
      </c>
      <c r="L24" s="13" t="s">
        <v>49</v>
      </c>
      <c r="M24" s="3"/>
      <c r="N24" s="7" t="s">
        <v>8</v>
      </c>
      <c r="O24" s="20" t="s">
        <v>9</v>
      </c>
      <c r="P24" s="20" t="s">
        <v>10</v>
      </c>
      <c r="Q24" s="20" t="s">
        <v>11</v>
      </c>
      <c r="R24" s="20" t="s">
        <v>12</v>
      </c>
      <c r="S24" s="20" t="s">
        <v>13</v>
      </c>
      <c r="T24" s="20" t="s">
        <v>14</v>
      </c>
      <c r="U24" s="20"/>
      <c r="V24" s="20"/>
    </row>
    <row r="25" ht="16.5" spans="1:22">
      <c r="A25" s="10">
        <v>21</v>
      </c>
      <c r="B25" s="11">
        <v>540</v>
      </c>
      <c r="C25" s="11">
        <f>B25+C23</f>
        <v>8100</v>
      </c>
      <c r="D25" s="12">
        <v>0.0428</v>
      </c>
      <c r="E25" s="10"/>
      <c r="F25" s="13"/>
      <c r="G25" s="11">
        <v>71</v>
      </c>
      <c r="H25" s="11">
        <v>2500</v>
      </c>
      <c r="I25" s="11">
        <f>H25+I23</f>
        <v>77440</v>
      </c>
      <c r="J25" s="12">
        <v>0.1103</v>
      </c>
      <c r="K25" s="10"/>
      <c r="L25" s="13"/>
      <c r="M25" s="3"/>
      <c r="N25" s="16" t="s">
        <v>50</v>
      </c>
      <c r="O25" s="13">
        <v>1</v>
      </c>
      <c r="P25" s="10"/>
      <c r="Q25" s="10"/>
      <c r="R25" s="10"/>
      <c r="S25" s="10" t="s">
        <v>10</v>
      </c>
      <c r="T25" s="15" t="s">
        <v>204</v>
      </c>
      <c r="U25" s="10"/>
      <c r="V25" s="10"/>
    </row>
    <row r="26" ht="16.5" spans="1:22">
      <c r="A26" s="10">
        <v>22</v>
      </c>
      <c r="B26" s="11">
        <v>560</v>
      </c>
      <c r="C26" s="11">
        <f t="shared" ref="C26:C34" si="4">B26+C25</f>
        <v>8660</v>
      </c>
      <c r="D26" s="12">
        <v>0.0435</v>
      </c>
      <c r="E26" s="10"/>
      <c r="F26" s="13"/>
      <c r="G26" s="11">
        <v>72</v>
      </c>
      <c r="H26" s="11">
        <v>2550</v>
      </c>
      <c r="I26" s="11">
        <f t="shared" ref="I26:I34" si="5">H26+I25</f>
        <v>79990</v>
      </c>
      <c r="J26" s="12">
        <v>0.111</v>
      </c>
      <c r="K26" s="10"/>
      <c r="L26" s="13"/>
      <c r="M26" s="3"/>
      <c r="N26" s="16"/>
      <c r="O26" s="13">
        <v>2</v>
      </c>
      <c r="P26" s="11">
        <v>500</v>
      </c>
      <c r="Q26" s="11">
        <v>43200</v>
      </c>
      <c r="R26" s="10"/>
      <c r="S26" s="10"/>
      <c r="T26" s="15" t="s">
        <v>205</v>
      </c>
      <c r="U26" s="10"/>
      <c r="V26" s="10"/>
    </row>
    <row r="27" ht="16.5" spans="1:22">
      <c r="A27" s="10">
        <v>23</v>
      </c>
      <c r="B27" s="11">
        <v>580</v>
      </c>
      <c r="C27" s="11">
        <f t="shared" si="4"/>
        <v>9240</v>
      </c>
      <c r="D27" s="12">
        <v>0.0443</v>
      </c>
      <c r="E27" s="10"/>
      <c r="F27" s="13"/>
      <c r="G27" s="11">
        <v>73</v>
      </c>
      <c r="H27" s="11">
        <v>2600</v>
      </c>
      <c r="I27" s="11">
        <f t="shared" si="5"/>
        <v>82590</v>
      </c>
      <c r="J27" s="12">
        <v>0.1118</v>
      </c>
      <c r="K27" s="10"/>
      <c r="L27" s="13"/>
      <c r="M27" s="3"/>
      <c r="N27" s="16"/>
      <c r="O27" s="13">
        <v>3</v>
      </c>
      <c r="P27" s="11">
        <v>1000</v>
      </c>
      <c r="Q27" s="11">
        <v>86400</v>
      </c>
      <c r="R27" s="10"/>
      <c r="S27" s="17">
        <f>SUM(P26:P34)</f>
        <v>7500</v>
      </c>
      <c r="T27" s="15" t="s">
        <v>206</v>
      </c>
      <c r="U27" s="10"/>
      <c r="V27" s="10"/>
    </row>
    <row r="28" ht="16.5" spans="1:22">
      <c r="A28" s="10">
        <v>24</v>
      </c>
      <c r="B28" s="11">
        <v>600</v>
      </c>
      <c r="C28" s="11">
        <f t="shared" si="4"/>
        <v>9840</v>
      </c>
      <c r="D28" s="12">
        <v>0.0450333333333333</v>
      </c>
      <c r="E28" s="10"/>
      <c r="F28" s="13"/>
      <c r="G28" s="11">
        <v>74</v>
      </c>
      <c r="H28" s="11">
        <v>2650</v>
      </c>
      <c r="I28" s="11">
        <f t="shared" si="5"/>
        <v>85240</v>
      </c>
      <c r="J28" s="12">
        <v>0.112533333333333</v>
      </c>
      <c r="K28" s="10"/>
      <c r="L28" s="13"/>
      <c r="M28" s="3"/>
      <c r="N28" s="16"/>
      <c r="O28" s="13">
        <v>4</v>
      </c>
      <c r="P28" s="11">
        <v>2000</v>
      </c>
      <c r="Q28" s="11">
        <v>172800</v>
      </c>
      <c r="R28" s="10"/>
      <c r="S28" s="18"/>
      <c r="T28" s="15" t="s">
        <v>207</v>
      </c>
      <c r="U28" s="10"/>
      <c r="V28" s="10"/>
    </row>
    <row r="29" ht="16.5" spans="1:22">
      <c r="A29" s="10">
        <v>25</v>
      </c>
      <c r="B29" s="11">
        <v>620</v>
      </c>
      <c r="C29" s="11">
        <f t="shared" si="4"/>
        <v>10460</v>
      </c>
      <c r="D29" s="12">
        <v>0.0457833333333333</v>
      </c>
      <c r="E29" s="10"/>
      <c r="F29" s="13"/>
      <c r="G29" s="11">
        <v>75</v>
      </c>
      <c r="H29" s="11">
        <v>2700</v>
      </c>
      <c r="I29" s="11">
        <f t="shared" si="5"/>
        <v>87940</v>
      </c>
      <c r="J29" s="12">
        <v>0.113283333333333</v>
      </c>
      <c r="K29" s="10"/>
      <c r="L29" s="13"/>
      <c r="M29" s="3"/>
      <c r="N29" s="16"/>
      <c r="O29" s="13">
        <v>5</v>
      </c>
      <c r="P29" s="11">
        <v>4000</v>
      </c>
      <c r="Q29" s="11">
        <v>345600</v>
      </c>
      <c r="R29" s="10"/>
      <c r="S29" s="19"/>
      <c r="T29" s="15" t="s">
        <v>208</v>
      </c>
      <c r="U29" s="10"/>
      <c r="V29" s="10"/>
    </row>
    <row r="30" ht="16.5" spans="1:22">
      <c r="A30" s="10">
        <v>26</v>
      </c>
      <c r="B30" s="11">
        <v>640</v>
      </c>
      <c r="C30" s="11">
        <f t="shared" si="4"/>
        <v>11100</v>
      </c>
      <c r="D30" s="12">
        <v>0.0465333333333333</v>
      </c>
      <c r="E30" s="10"/>
      <c r="F30" s="13"/>
      <c r="G30" s="11">
        <v>76</v>
      </c>
      <c r="H30" s="11">
        <v>2750</v>
      </c>
      <c r="I30" s="11">
        <f t="shared" si="5"/>
        <v>90690</v>
      </c>
      <c r="J30" s="12">
        <v>0.114033333333333</v>
      </c>
      <c r="K30" s="10"/>
      <c r="L30" s="13"/>
      <c r="M30" s="3"/>
      <c r="N30" s="16"/>
      <c r="O30" s="13"/>
      <c r="P30" s="10"/>
      <c r="Q30" s="10"/>
      <c r="R30" s="10"/>
      <c r="S30" s="10" t="s">
        <v>11</v>
      </c>
      <c r="T30" s="10"/>
      <c r="U30" s="10"/>
      <c r="V30" s="10"/>
    </row>
    <row r="31" ht="16.5" spans="1:22">
      <c r="A31" s="10">
        <v>27</v>
      </c>
      <c r="B31" s="11">
        <v>660</v>
      </c>
      <c r="C31" s="11">
        <f t="shared" si="4"/>
        <v>11760</v>
      </c>
      <c r="D31" s="12">
        <v>0.0472833333333333</v>
      </c>
      <c r="E31" s="10"/>
      <c r="F31" s="13"/>
      <c r="G31" s="11">
        <v>77</v>
      </c>
      <c r="H31" s="11">
        <v>2800</v>
      </c>
      <c r="I31" s="11">
        <f t="shared" si="5"/>
        <v>93490</v>
      </c>
      <c r="J31" s="12">
        <v>0.114783333333333</v>
      </c>
      <c r="K31" s="10"/>
      <c r="L31" s="13"/>
      <c r="M31" s="3"/>
      <c r="N31" s="16"/>
      <c r="O31" s="13"/>
      <c r="P31" s="10"/>
      <c r="Q31" s="10"/>
      <c r="R31" s="10"/>
      <c r="S31" s="10"/>
      <c r="T31" s="10"/>
      <c r="U31" s="10"/>
      <c r="V31" s="10"/>
    </row>
    <row r="32" ht="16.5" spans="1:22">
      <c r="A32" s="10">
        <v>28</v>
      </c>
      <c r="B32" s="11">
        <v>680</v>
      </c>
      <c r="C32" s="11">
        <f t="shared" si="4"/>
        <v>12440</v>
      </c>
      <c r="D32" s="12">
        <v>0.0480333333333333</v>
      </c>
      <c r="E32" s="10"/>
      <c r="F32" s="13"/>
      <c r="G32" s="11">
        <v>78</v>
      </c>
      <c r="H32" s="11">
        <v>2850</v>
      </c>
      <c r="I32" s="11">
        <f t="shared" si="5"/>
        <v>96340</v>
      </c>
      <c r="J32" s="12">
        <v>0.115533333333333</v>
      </c>
      <c r="K32" s="10"/>
      <c r="L32" s="13"/>
      <c r="M32" s="3"/>
      <c r="N32" s="16"/>
      <c r="O32" s="13"/>
      <c r="P32" s="10"/>
      <c r="Q32" s="10"/>
      <c r="R32" s="10"/>
      <c r="S32" s="17">
        <f>SUM(Q26:Q34)</f>
        <v>648000</v>
      </c>
      <c r="T32" s="10"/>
      <c r="U32" s="10"/>
      <c r="V32" s="10"/>
    </row>
    <row r="33" ht="16.5" spans="1:22">
      <c r="A33" s="10">
        <v>29</v>
      </c>
      <c r="B33" s="11">
        <v>700</v>
      </c>
      <c r="C33" s="11">
        <f t="shared" si="4"/>
        <v>13140</v>
      </c>
      <c r="D33" s="12">
        <v>0.0487833333333333</v>
      </c>
      <c r="E33" s="10"/>
      <c r="F33" s="13"/>
      <c r="G33" s="11">
        <v>79</v>
      </c>
      <c r="H33" s="11">
        <v>2900</v>
      </c>
      <c r="I33" s="11">
        <f t="shared" si="5"/>
        <v>99240</v>
      </c>
      <c r="J33" s="12">
        <v>0.116283333333333</v>
      </c>
      <c r="K33" s="10"/>
      <c r="L33" s="13"/>
      <c r="M33" s="3"/>
      <c r="N33" s="16"/>
      <c r="O33" s="13"/>
      <c r="P33" s="10"/>
      <c r="Q33" s="10"/>
      <c r="R33" s="10"/>
      <c r="S33" s="18"/>
      <c r="T33" s="10"/>
      <c r="U33" s="10"/>
      <c r="V33" s="10"/>
    </row>
    <row r="34" ht="16.5" spans="1:22">
      <c r="A34" s="10">
        <v>30</v>
      </c>
      <c r="B34" s="11">
        <v>730</v>
      </c>
      <c r="C34" s="11">
        <f t="shared" si="4"/>
        <v>13870</v>
      </c>
      <c r="D34" s="12">
        <v>0.0495</v>
      </c>
      <c r="E34" s="10"/>
      <c r="F34" s="13"/>
      <c r="G34" s="11">
        <v>80</v>
      </c>
      <c r="H34" s="11">
        <v>2950</v>
      </c>
      <c r="I34" s="11">
        <f t="shared" si="5"/>
        <v>102190</v>
      </c>
      <c r="J34" s="12">
        <v>0.117</v>
      </c>
      <c r="K34" s="10"/>
      <c r="L34" s="13"/>
      <c r="M34" s="3"/>
      <c r="N34" s="16"/>
      <c r="O34" s="13"/>
      <c r="P34" s="10"/>
      <c r="Q34" s="10"/>
      <c r="R34" s="10"/>
      <c r="S34" s="19"/>
      <c r="T34" s="10"/>
      <c r="U34" s="10"/>
      <c r="V34" s="10"/>
    </row>
    <row r="35" ht="16.5" spans="1:22">
      <c r="A35" s="10" t="s">
        <v>31</v>
      </c>
      <c r="B35" s="11"/>
      <c r="C35" s="11"/>
      <c r="D35" s="12">
        <v>0.0555</v>
      </c>
      <c r="E35" s="10">
        <v>15</v>
      </c>
      <c r="F35" s="13" t="s">
        <v>64</v>
      </c>
      <c r="G35" s="11" t="s">
        <v>31</v>
      </c>
      <c r="H35" s="11"/>
      <c r="I35" s="11"/>
      <c r="J35" s="12">
        <v>0.123</v>
      </c>
      <c r="K35" s="10">
        <v>40</v>
      </c>
      <c r="L35" s="13" t="s">
        <v>65</v>
      </c>
      <c r="M35" s="3"/>
      <c r="N35" s="7" t="s">
        <v>8</v>
      </c>
      <c r="O35" s="20" t="s">
        <v>9</v>
      </c>
      <c r="P35" s="20" t="s">
        <v>10</v>
      </c>
      <c r="Q35" s="20" t="s">
        <v>11</v>
      </c>
      <c r="R35" s="20" t="s">
        <v>12</v>
      </c>
      <c r="S35" s="20" t="s">
        <v>13</v>
      </c>
      <c r="T35" s="20" t="s">
        <v>14</v>
      </c>
      <c r="U35" s="20"/>
      <c r="V35" s="20"/>
    </row>
    <row r="36" ht="16.5" spans="1:22">
      <c r="A36" s="10">
        <v>31</v>
      </c>
      <c r="B36" s="11">
        <v>760</v>
      </c>
      <c r="C36" s="11">
        <f>B36+C34</f>
        <v>14630</v>
      </c>
      <c r="D36" s="12">
        <v>0.0563</v>
      </c>
      <c r="E36" s="10"/>
      <c r="F36" s="13"/>
      <c r="G36" s="11">
        <v>81</v>
      </c>
      <c r="H36" s="11">
        <v>3000</v>
      </c>
      <c r="I36" s="11">
        <f>H36+I34</f>
        <v>105190</v>
      </c>
      <c r="J36" s="12">
        <v>0.1238</v>
      </c>
      <c r="K36" s="10"/>
      <c r="L36" s="13"/>
      <c r="M36" s="3"/>
      <c r="N36" s="14" t="s">
        <v>209</v>
      </c>
      <c r="O36" s="13">
        <v>1</v>
      </c>
      <c r="P36" s="10"/>
      <c r="Q36" s="10"/>
      <c r="R36" s="10"/>
      <c r="S36" s="10" t="s">
        <v>10</v>
      </c>
      <c r="T36" s="15" t="s">
        <v>210</v>
      </c>
      <c r="U36" s="10"/>
      <c r="V36" s="10"/>
    </row>
    <row r="37" ht="16.5" spans="1:22">
      <c r="A37" s="10">
        <v>32</v>
      </c>
      <c r="B37" s="11">
        <v>790</v>
      </c>
      <c r="C37" s="11">
        <f t="shared" ref="C37:C45" si="6">B37+C36</f>
        <v>15420</v>
      </c>
      <c r="D37" s="12">
        <v>0.057</v>
      </c>
      <c r="E37" s="10"/>
      <c r="F37" s="13"/>
      <c r="G37" s="11">
        <v>82</v>
      </c>
      <c r="H37" s="11">
        <v>3050</v>
      </c>
      <c r="I37" s="11">
        <f t="shared" ref="I37:I45" si="7">H37+I36</f>
        <v>108240</v>
      </c>
      <c r="J37" s="12">
        <v>0.1245</v>
      </c>
      <c r="K37" s="10"/>
      <c r="L37" s="13"/>
      <c r="M37" s="3"/>
      <c r="N37" s="16"/>
      <c r="O37" s="13">
        <v>2</v>
      </c>
      <c r="P37" s="11">
        <v>100</v>
      </c>
      <c r="Q37" s="11">
        <v>10200</v>
      </c>
      <c r="R37" s="10"/>
      <c r="S37" s="10"/>
      <c r="T37" s="15" t="s">
        <v>211</v>
      </c>
      <c r="U37" s="10"/>
      <c r="V37" s="10"/>
    </row>
    <row r="38" ht="16.5" spans="1:22">
      <c r="A38" s="10">
        <v>33</v>
      </c>
      <c r="B38" s="11">
        <v>820</v>
      </c>
      <c r="C38" s="11">
        <f t="shared" si="6"/>
        <v>16240</v>
      </c>
      <c r="D38" s="12">
        <v>0.0578</v>
      </c>
      <c r="E38" s="10"/>
      <c r="F38" s="13"/>
      <c r="G38" s="11">
        <v>83</v>
      </c>
      <c r="H38" s="11">
        <v>3100</v>
      </c>
      <c r="I38" s="11">
        <f t="shared" si="7"/>
        <v>111340</v>
      </c>
      <c r="J38" s="12">
        <v>0.125266666666667</v>
      </c>
      <c r="K38" s="10"/>
      <c r="L38" s="13"/>
      <c r="M38" s="3"/>
      <c r="N38" s="16"/>
      <c r="O38" s="13">
        <v>3</v>
      </c>
      <c r="P38" s="11">
        <v>200</v>
      </c>
      <c r="Q38" s="11">
        <v>20400</v>
      </c>
      <c r="R38" s="10"/>
      <c r="S38" s="17">
        <f>SUM(P37:P45)</f>
        <v>4500</v>
      </c>
      <c r="T38" s="15" t="s">
        <v>212</v>
      </c>
      <c r="U38" s="10"/>
      <c r="V38" s="10"/>
    </row>
    <row r="39" ht="16.5" spans="1:22">
      <c r="A39" s="10">
        <v>34</v>
      </c>
      <c r="B39" s="11">
        <v>850</v>
      </c>
      <c r="C39" s="11">
        <f t="shared" si="6"/>
        <v>17090</v>
      </c>
      <c r="D39" s="12">
        <v>0.0585333333333333</v>
      </c>
      <c r="E39" s="10"/>
      <c r="F39" s="13"/>
      <c r="G39" s="11">
        <v>84</v>
      </c>
      <c r="H39" s="11">
        <v>3150</v>
      </c>
      <c r="I39" s="11">
        <f t="shared" si="7"/>
        <v>114490</v>
      </c>
      <c r="J39" s="12">
        <v>0.126016666666667</v>
      </c>
      <c r="K39" s="10"/>
      <c r="L39" s="13"/>
      <c r="M39" s="3"/>
      <c r="N39" s="16"/>
      <c r="O39" s="13">
        <v>4</v>
      </c>
      <c r="P39" s="11">
        <v>300</v>
      </c>
      <c r="Q39" s="11">
        <v>30600</v>
      </c>
      <c r="R39" s="10"/>
      <c r="S39" s="18"/>
      <c r="T39" s="15" t="s">
        <v>213</v>
      </c>
      <c r="U39" s="10"/>
      <c r="V39" s="10"/>
    </row>
    <row r="40" ht="16.5" spans="1:22">
      <c r="A40" s="10">
        <v>35</v>
      </c>
      <c r="B40" s="11">
        <v>880</v>
      </c>
      <c r="C40" s="11">
        <f t="shared" si="6"/>
        <v>17970</v>
      </c>
      <c r="D40" s="12">
        <v>0.0592833333333333</v>
      </c>
      <c r="E40" s="10"/>
      <c r="F40" s="13"/>
      <c r="G40" s="11">
        <v>85</v>
      </c>
      <c r="H40" s="11">
        <v>3200</v>
      </c>
      <c r="I40" s="11">
        <f t="shared" si="7"/>
        <v>117690</v>
      </c>
      <c r="J40" s="12">
        <v>0.126766666666667</v>
      </c>
      <c r="K40" s="10"/>
      <c r="L40" s="13"/>
      <c r="M40" s="3"/>
      <c r="N40" s="16"/>
      <c r="O40" s="13">
        <v>5</v>
      </c>
      <c r="P40" s="11">
        <v>400</v>
      </c>
      <c r="Q40" s="11">
        <v>41400</v>
      </c>
      <c r="R40" s="10"/>
      <c r="S40" s="19"/>
      <c r="T40" s="15" t="s">
        <v>214</v>
      </c>
      <c r="U40" s="10"/>
      <c r="V40" s="10"/>
    </row>
    <row r="41" ht="16.5" spans="1:22">
      <c r="A41" s="10">
        <v>36</v>
      </c>
      <c r="B41" s="11">
        <v>910</v>
      </c>
      <c r="C41" s="11">
        <f t="shared" si="6"/>
        <v>18880</v>
      </c>
      <c r="D41" s="12">
        <v>0.0600333333333334</v>
      </c>
      <c r="E41" s="10"/>
      <c r="F41" s="13"/>
      <c r="G41" s="11">
        <v>86</v>
      </c>
      <c r="H41" s="11">
        <v>3250</v>
      </c>
      <c r="I41" s="11">
        <f t="shared" si="7"/>
        <v>120940</v>
      </c>
      <c r="J41" s="12">
        <v>0.127516666666667</v>
      </c>
      <c r="K41" s="10"/>
      <c r="L41" s="13"/>
      <c r="M41" s="3"/>
      <c r="N41" s="16"/>
      <c r="O41" s="13">
        <v>6</v>
      </c>
      <c r="P41" s="11">
        <v>500</v>
      </c>
      <c r="Q41" s="11">
        <v>51600</v>
      </c>
      <c r="R41" s="10"/>
      <c r="S41" s="10" t="s">
        <v>11</v>
      </c>
      <c r="T41" s="15" t="s">
        <v>215</v>
      </c>
      <c r="U41" s="10"/>
      <c r="V41" s="10"/>
    </row>
    <row r="42" ht="16.5" spans="1:22">
      <c r="A42" s="10">
        <v>37</v>
      </c>
      <c r="B42" s="11">
        <v>940</v>
      </c>
      <c r="C42" s="11">
        <f t="shared" si="6"/>
        <v>19820</v>
      </c>
      <c r="D42" s="12">
        <v>0.0607833333333334</v>
      </c>
      <c r="E42" s="10"/>
      <c r="F42" s="13"/>
      <c r="G42" s="11">
        <v>87</v>
      </c>
      <c r="H42" s="11">
        <v>3300</v>
      </c>
      <c r="I42" s="11">
        <f t="shared" si="7"/>
        <v>124240</v>
      </c>
      <c r="J42" s="12">
        <v>0.128266666666667</v>
      </c>
      <c r="K42" s="10"/>
      <c r="L42" s="13"/>
      <c r="M42" s="3"/>
      <c r="N42" s="16"/>
      <c r="O42" s="13">
        <v>7</v>
      </c>
      <c r="P42" s="11">
        <v>600</v>
      </c>
      <c r="Q42" s="11">
        <v>61800</v>
      </c>
      <c r="R42" s="10"/>
      <c r="S42" s="10"/>
      <c r="T42" s="15" t="s">
        <v>216</v>
      </c>
      <c r="U42" s="10"/>
      <c r="V42" s="10"/>
    </row>
    <row r="43" ht="16.5" spans="1:22">
      <c r="A43" s="10">
        <v>38</v>
      </c>
      <c r="B43" s="11">
        <v>970</v>
      </c>
      <c r="C43" s="11">
        <f t="shared" si="6"/>
        <v>20790</v>
      </c>
      <c r="D43" s="12">
        <v>0.0615333333333334</v>
      </c>
      <c r="E43" s="10"/>
      <c r="F43" s="13"/>
      <c r="G43" s="11">
        <v>88</v>
      </c>
      <c r="H43" s="11">
        <v>3350</v>
      </c>
      <c r="I43" s="11">
        <f t="shared" si="7"/>
        <v>127590</v>
      </c>
      <c r="J43" s="12">
        <v>0.129016666666667</v>
      </c>
      <c r="K43" s="10"/>
      <c r="L43" s="13"/>
      <c r="M43" s="3"/>
      <c r="N43" s="16"/>
      <c r="O43" s="13">
        <v>8</v>
      </c>
      <c r="P43" s="11">
        <v>700</v>
      </c>
      <c r="Q43" s="11">
        <v>72600</v>
      </c>
      <c r="R43" s="10"/>
      <c r="S43" s="17">
        <f>SUM(Q37:Q45)</f>
        <v>464400</v>
      </c>
      <c r="T43" s="15" t="s">
        <v>217</v>
      </c>
      <c r="U43" s="10"/>
      <c r="V43" s="10"/>
    </row>
    <row r="44" ht="16.5" spans="1:22">
      <c r="A44" s="10">
        <v>39</v>
      </c>
      <c r="B44" s="11">
        <v>1000</v>
      </c>
      <c r="C44" s="11">
        <f t="shared" si="6"/>
        <v>21790</v>
      </c>
      <c r="D44" s="12">
        <v>0.0622833333333334</v>
      </c>
      <c r="E44" s="10"/>
      <c r="F44" s="13"/>
      <c r="G44" s="11">
        <v>89</v>
      </c>
      <c r="H44" s="11">
        <v>3400</v>
      </c>
      <c r="I44" s="11">
        <f t="shared" si="7"/>
        <v>130990</v>
      </c>
      <c r="J44" s="12">
        <v>0.129766666666667</v>
      </c>
      <c r="K44" s="10"/>
      <c r="L44" s="13"/>
      <c r="M44" s="3"/>
      <c r="N44" s="16"/>
      <c r="O44" s="13">
        <v>9</v>
      </c>
      <c r="P44" s="11">
        <v>800</v>
      </c>
      <c r="Q44" s="11">
        <v>82800</v>
      </c>
      <c r="R44" s="10"/>
      <c r="S44" s="18"/>
      <c r="T44" s="15" t="s">
        <v>218</v>
      </c>
      <c r="U44" s="10"/>
      <c r="V44" s="10"/>
    </row>
    <row r="45" ht="16.5" spans="1:22">
      <c r="A45" s="10">
        <v>40</v>
      </c>
      <c r="B45" s="11">
        <v>1040</v>
      </c>
      <c r="C45" s="11">
        <f t="shared" si="6"/>
        <v>22830</v>
      </c>
      <c r="D45" s="12">
        <v>0.063</v>
      </c>
      <c r="E45" s="10"/>
      <c r="F45" s="13"/>
      <c r="G45" s="11">
        <v>90</v>
      </c>
      <c r="H45" s="11">
        <v>3450</v>
      </c>
      <c r="I45" s="11">
        <f t="shared" si="7"/>
        <v>134440</v>
      </c>
      <c r="J45" s="12">
        <v>0.1305</v>
      </c>
      <c r="K45" s="10"/>
      <c r="L45" s="13"/>
      <c r="M45" s="3"/>
      <c r="N45" s="16"/>
      <c r="O45" s="13">
        <v>10</v>
      </c>
      <c r="P45" s="11">
        <v>900</v>
      </c>
      <c r="Q45" s="11">
        <v>93000</v>
      </c>
      <c r="R45" s="10"/>
      <c r="S45" s="19"/>
      <c r="T45" s="15" t="s">
        <v>219</v>
      </c>
      <c r="U45" s="10"/>
      <c r="V45" s="10"/>
    </row>
    <row r="46" ht="16.5" spans="1:22">
      <c r="A46" s="10" t="s">
        <v>31</v>
      </c>
      <c r="B46" s="11"/>
      <c r="C46" s="11"/>
      <c r="D46" s="12">
        <v>0.069</v>
      </c>
      <c r="E46" s="10">
        <v>20</v>
      </c>
      <c r="F46" s="13" t="s">
        <v>80</v>
      </c>
      <c r="G46" s="11" t="s">
        <v>31</v>
      </c>
      <c r="H46" s="11"/>
      <c r="I46" s="11"/>
      <c r="J46" s="12">
        <v>0.1365</v>
      </c>
      <c r="K46" s="10">
        <v>45</v>
      </c>
      <c r="L46" s="13" t="s">
        <v>81</v>
      </c>
      <c r="M46" s="3"/>
      <c r="N46" s="20" t="s">
        <v>8</v>
      </c>
      <c r="O46" s="20"/>
      <c r="P46" s="20" t="s">
        <v>2</v>
      </c>
      <c r="Q46" s="20" t="s">
        <v>7</v>
      </c>
      <c r="R46" s="20"/>
      <c r="S46" s="20" t="s">
        <v>82</v>
      </c>
      <c r="T46" s="20" t="s">
        <v>14</v>
      </c>
      <c r="U46" s="20"/>
      <c r="V46" s="20"/>
    </row>
    <row r="47" ht="16.5" spans="1:22">
      <c r="A47" s="10">
        <v>41</v>
      </c>
      <c r="B47" s="11">
        <v>1080</v>
      </c>
      <c r="C47" s="11">
        <f>B47+C45</f>
        <v>23910</v>
      </c>
      <c r="D47" s="12">
        <v>0.0698</v>
      </c>
      <c r="E47" s="10"/>
      <c r="F47" s="13"/>
      <c r="G47" s="11">
        <v>91</v>
      </c>
      <c r="H47" s="11">
        <v>3500</v>
      </c>
      <c r="I47" s="11">
        <f>H47+I45</f>
        <v>137940</v>
      </c>
      <c r="J47" s="12">
        <v>0.1373</v>
      </c>
      <c r="K47" s="10"/>
      <c r="L47" s="13"/>
      <c r="M47" s="3"/>
      <c r="N47" s="16"/>
      <c r="O47" s="16"/>
      <c r="P47" s="13">
        <v>1</v>
      </c>
      <c r="Q47" s="10" t="s">
        <v>15</v>
      </c>
      <c r="R47" s="10"/>
      <c r="S47" s="10">
        <v>1</v>
      </c>
      <c r="T47" s="15" t="s">
        <v>220</v>
      </c>
      <c r="U47" s="10"/>
      <c r="V47" s="10"/>
    </row>
    <row r="48" ht="16.5" spans="1:22">
      <c r="A48" s="10">
        <v>42</v>
      </c>
      <c r="B48" s="11">
        <v>1120</v>
      </c>
      <c r="C48" s="11">
        <f t="shared" ref="C48:C56" si="8">B48+C47</f>
        <v>25030</v>
      </c>
      <c r="D48" s="12">
        <v>0.0705</v>
      </c>
      <c r="E48" s="10"/>
      <c r="F48" s="13"/>
      <c r="G48" s="11">
        <v>92</v>
      </c>
      <c r="H48" s="11">
        <v>3550</v>
      </c>
      <c r="I48" s="11">
        <f t="shared" ref="I48:I56" si="9">H48+I47</f>
        <v>141490</v>
      </c>
      <c r="J48" s="12">
        <v>0.138</v>
      </c>
      <c r="K48" s="10"/>
      <c r="L48" s="13"/>
      <c r="M48" s="3"/>
      <c r="N48" s="16"/>
      <c r="O48" s="16"/>
      <c r="P48" s="13">
        <v>10</v>
      </c>
      <c r="Q48" s="10" t="s">
        <v>32</v>
      </c>
      <c r="R48" s="10"/>
      <c r="S48" s="10">
        <v>2</v>
      </c>
      <c r="T48" s="15" t="s">
        <v>221</v>
      </c>
      <c r="U48" s="10"/>
      <c r="V48" s="10"/>
    </row>
    <row r="49" ht="16.5" spans="1:22">
      <c r="A49" s="10">
        <v>43</v>
      </c>
      <c r="B49" s="11">
        <v>1160</v>
      </c>
      <c r="C49" s="11">
        <f t="shared" si="8"/>
        <v>26190</v>
      </c>
      <c r="D49" s="12">
        <v>0.0713</v>
      </c>
      <c r="E49" s="10"/>
      <c r="F49" s="13"/>
      <c r="G49" s="11">
        <v>93</v>
      </c>
      <c r="H49" s="11">
        <v>3600</v>
      </c>
      <c r="I49" s="11">
        <f t="shared" si="9"/>
        <v>145090</v>
      </c>
      <c r="J49" s="12">
        <v>0.1388</v>
      </c>
      <c r="K49" s="10"/>
      <c r="L49" s="13"/>
      <c r="M49" s="3"/>
      <c r="N49" s="16"/>
      <c r="O49" s="16"/>
      <c r="P49" s="13">
        <v>20</v>
      </c>
      <c r="Q49" s="10" t="s">
        <v>48</v>
      </c>
      <c r="R49" s="10"/>
      <c r="S49" s="10">
        <v>3</v>
      </c>
      <c r="T49" s="15" t="s">
        <v>222</v>
      </c>
      <c r="U49" s="10"/>
      <c r="V49" s="10"/>
    </row>
    <row r="50" ht="16.5" spans="1:22">
      <c r="A50" s="10">
        <v>44</v>
      </c>
      <c r="B50" s="11">
        <v>1200</v>
      </c>
      <c r="C50" s="11">
        <f t="shared" si="8"/>
        <v>27390</v>
      </c>
      <c r="D50" s="12">
        <v>0.0720333333333333</v>
      </c>
      <c r="E50" s="10"/>
      <c r="F50" s="13"/>
      <c r="G50" s="11">
        <v>94</v>
      </c>
      <c r="H50" s="11">
        <v>3650</v>
      </c>
      <c r="I50" s="11">
        <f t="shared" si="9"/>
        <v>148740</v>
      </c>
      <c r="J50" s="12">
        <v>0.139533333333333</v>
      </c>
      <c r="K50" s="10"/>
      <c r="L50" s="13"/>
      <c r="M50" s="3"/>
      <c r="N50" s="16"/>
      <c r="O50" s="16"/>
      <c r="P50" s="13">
        <v>30</v>
      </c>
      <c r="Q50" s="10" t="s">
        <v>64</v>
      </c>
      <c r="R50" s="10"/>
      <c r="S50" s="10">
        <v>4</v>
      </c>
      <c r="T50" s="15" t="s">
        <v>223</v>
      </c>
      <c r="U50" s="10"/>
      <c r="V50" s="10"/>
    </row>
    <row r="51" ht="16.5" spans="1:22">
      <c r="A51" s="10">
        <v>45</v>
      </c>
      <c r="B51" s="11">
        <v>1240</v>
      </c>
      <c r="C51" s="11">
        <f t="shared" si="8"/>
        <v>28630</v>
      </c>
      <c r="D51" s="12">
        <v>0.0727833333333333</v>
      </c>
      <c r="E51" s="10"/>
      <c r="F51" s="13"/>
      <c r="G51" s="11">
        <v>95</v>
      </c>
      <c r="H51" s="11">
        <v>3700</v>
      </c>
      <c r="I51" s="11">
        <f t="shared" si="9"/>
        <v>152440</v>
      </c>
      <c r="J51" s="12">
        <v>0.140283333333333</v>
      </c>
      <c r="K51" s="10"/>
      <c r="L51" s="13"/>
      <c r="M51" s="3"/>
      <c r="N51" s="16"/>
      <c r="O51" s="16"/>
      <c r="P51" s="13">
        <v>40</v>
      </c>
      <c r="Q51" s="10" t="s">
        <v>80</v>
      </c>
      <c r="R51" s="10"/>
      <c r="S51" s="10">
        <v>5</v>
      </c>
      <c r="T51" s="15" t="s">
        <v>224</v>
      </c>
      <c r="U51" s="10"/>
      <c r="V51" s="10"/>
    </row>
    <row r="52" ht="16.5" spans="1:22">
      <c r="A52" s="10">
        <v>46</v>
      </c>
      <c r="B52" s="11">
        <v>1280</v>
      </c>
      <c r="C52" s="11">
        <f t="shared" si="8"/>
        <v>29910</v>
      </c>
      <c r="D52" s="12">
        <v>0.0735333333333333</v>
      </c>
      <c r="E52" s="10"/>
      <c r="F52" s="13"/>
      <c r="G52" s="11">
        <v>96</v>
      </c>
      <c r="H52" s="11">
        <v>3750</v>
      </c>
      <c r="I52" s="11">
        <f t="shared" si="9"/>
        <v>156190</v>
      </c>
      <c r="J52" s="12">
        <v>0.141033333333333</v>
      </c>
      <c r="K52" s="10"/>
      <c r="L52" s="13"/>
      <c r="M52" s="3"/>
      <c r="N52" s="16"/>
      <c r="O52" s="16"/>
      <c r="P52" s="13">
        <v>50</v>
      </c>
      <c r="Q52" s="10" t="s">
        <v>16</v>
      </c>
      <c r="R52" s="10"/>
      <c r="S52" s="10">
        <v>6</v>
      </c>
      <c r="T52" s="15" t="s">
        <v>225</v>
      </c>
      <c r="U52" s="10"/>
      <c r="V52" s="10"/>
    </row>
    <row r="53" ht="16.5" spans="1:22">
      <c r="A53" s="10">
        <v>47</v>
      </c>
      <c r="B53" s="11">
        <v>1320</v>
      </c>
      <c r="C53" s="11">
        <f t="shared" si="8"/>
        <v>31230</v>
      </c>
      <c r="D53" s="12">
        <v>0.0742833333333333</v>
      </c>
      <c r="E53" s="10"/>
      <c r="F53" s="13"/>
      <c r="G53" s="11">
        <v>97</v>
      </c>
      <c r="H53" s="11">
        <v>3800</v>
      </c>
      <c r="I53" s="11">
        <f t="shared" si="9"/>
        <v>159990</v>
      </c>
      <c r="J53" s="12">
        <v>0.141783333333333</v>
      </c>
      <c r="K53" s="10"/>
      <c r="L53" s="13"/>
      <c r="M53" s="3"/>
      <c r="N53" s="16"/>
      <c r="O53" s="16"/>
      <c r="P53" s="13">
        <v>60</v>
      </c>
      <c r="Q53" s="10" t="s">
        <v>33</v>
      </c>
      <c r="R53" s="10"/>
      <c r="S53" s="10">
        <v>7</v>
      </c>
      <c r="T53" s="15" t="s">
        <v>226</v>
      </c>
      <c r="U53" s="10"/>
      <c r="V53" s="10"/>
    </row>
    <row r="54" ht="16.5" spans="1:22">
      <c r="A54" s="10">
        <v>48</v>
      </c>
      <c r="B54" s="11">
        <v>1360</v>
      </c>
      <c r="C54" s="11">
        <f t="shared" si="8"/>
        <v>32590</v>
      </c>
      <c r="D54" s="12">
        <v>0.0750333333333333</v>
      </c>
      <c r="E54" s="10"/>
      <c r="F54" s="13"/>
      <c r="G54" s="11">
        <v>98</v>
      </c>
      <c r="H54" s="11">
        <v>3850</v>
      </c>
      <c r="I54" s="11">
        <f t="shared" si="9"/>
        <v>163840</v>
      </c>
      <c r="J54" s="12">
        <v>0.142533333333333</v>
      </c>
      <c r="K54" s="10"/>
      <c r="L54" s="13"/>
      <c r="M54" s="3"/>
      <c r="N54" s="16"/>
      <c r="O54" s="16"/>
      <c r="P54" s="13">
        <v>70</v>
      </c>
      <c r="Q54" s="10" t="s">
        <v>49</v>
      </c>
      <c r="R54" s="10"/>
      <c r="S54" s="10">
        <v>8</v>
      </c>
      <c r="T54" s="15" t="s">
        <v>227</v>
      </c>
      <c r="U54" s="10"/>
      <c r="V54" s="10"/>
    </row>
    <row r="55" ht="16.5" spans="1:22">
      <c r="A55" s="10">
        <v>49</v>
      </c>
      <c r="B55" s="11">
        <v>1400</v>
      </c>
      <c r="C55" s="11">
        <f t="shared" si="8"/>
        <v>33990</v>
      </c>
      <c r="D55" s="12">
        <v>0.0757833333333333</v>
      </c>
      <c r="E55" s="10"/>
      <c r="F55" s="13"/>
      <c r="G55" s="11">
        <v>99</v>
      </c>
      <c r="H55" s="11">
        <v>3900</v>
      </c>
      <c r="I55" s="11">
        <f t="shared" si="9"/>
        <v>167740</v>
      </c>
      <c r="J55" s="12">
        <v>0.143283333333333</v>
      </c>
      <c r="K55" s="10"/>
      <c r="L55" s="13"/>
      <c r="M55" s="3"/>
      <c r="N55" s="16"/>
      <c r="O55" s="16"/>
      <c r="P55" s="13">
        <v>80</v>
      </c>
      <c r="Q55" s="10" t="s">
        <v>65</v>
      </c>
      <c r="R55" s="10"/>
      <c r="S55" s="10">
        <v>9</v>
      </c>
      <c r="T55" s="15" t="s">
        <v>228</v>
      </c>
      <c r="U55" s="10"/>
      <c r="V55" s="10"/>
    </row>
    <row r="56" ht="16.5" spans="1:22">
      <c r="A56" s="10">
        <v>50</v>
      </c>
      <c r="B56" s="11">
        <v>1450</v>
      </c>
      <c r="C56" s="11">
        <f t="shared" si="8"/>
        <v>35440</v>
      </c>
      <c r="D56" s="12">
        <v>0.0765</v>
      </c>
      <c r="E56" s="10"/>
      <c r="F56" s="13"/>
      <c r="G56" s="11">
        <v>100</v>
      </c>
      <c r="H56" s="11">
        <v>3950</v>
      </c>
      <c r="I56" s="11">
        <f t="shared" si="9"/>
        <v>171690</v>
      </c>
      <c r="J56" s="12">
        <v>0.144</v>
      </c>
      <c r="K56" s="10"/>
      <c r="L56" s="13"/>
      <c r="M56" s="3"/>
      <c r="N56" s="16"/>
      <c r="O56" s="16"/>
      <c r="P56" s="13">
        <v>90</v>
      </c>
      <c r="Q56" s="10" t="s">
        <v>81</v>
      </c>
      <c r="R56" s="10"/>
      <c r="S56" s="10">
        <v>10</v>
      </c>
      <c r="T56" s="15" t="s">
        <v>229</v>
      </c>
      <c r="U56" s="10"/>
      <c r="V56" s="10"/>
    </row>
    <row r="57" ht="16.5" spans="1:22">
      <c r="A57" s="10" t="s">
        <v>31</v>
      </c>
      <c r="B57" s="10"/>
      <c r="C57" s="10"/>
      <c r="D57" s="10">
        <v>0.0825</v>
      </c>
      <c r="E57" s="10">
        <v>25</v>
      </c>
      <c r="F57" s="13" t="s">
        <v>16</v>
      </c>
      <c r="G57" s="10" t="s">
        <v>31</v>
      </c>
      <c r="H57" s="10"/>
      <c r="I57" s="10"/>
      <c r="J57" s="12">
        <v>0.15</v>
      </c>
      <c r="K57" s="10">
        <v>50</v>
      </c>
      <c r="L57" s="13" t="s">
        <v>94</v>
      </c>
      <c r="M57" s="3"/>
      <c r="N57" s="16"/>
      <c r="O57" s="16"/>
      <c r="P57" s="13">
        <v>100</v>
      </c>
      <c r="Q57" s="10" t="s">
        <v>94</v>
      </c>
      <c r="R57" s="10"/>
      <c r="S57" s="10">
        <v>11</v>
      </c>
      <c r="T57" s="15" t="s">
        <v>230</v>
      </c>
      <c r="U57" s="10"/>
      <c r="V57" s="10"/>
    </row>
    <row r="58" spans="1:22">
      <c r="A58" s="44" t="s">
        <v>96</v>
      </c>
      <c r="B58" s="44"/>
      <c r="C58" s="45"/>
      <c r="D58" s="45"/>
      <c r="E58" s="44" t="s">
        <v>97</v>
      </c>
      <c r="F58" s="44">
        <f>I56</f>
        <v>171690</v>
      </c>
      <c r="G58" s="45"/>
      <c r="H58" s="45"/>
      <c r="I58" s="44" t="s">
        <v>6</v>
      </c>
      <c r="J58" s="44">
        <f>E13+E24+E35+E46+E57+K13+K24+K35+K46+K57</f>
        <v>275</v>
      </c>
      <c r="K58" s="45"/>
      <c r="L58" s="45"/>
      <c r="M58" s="3"/>
      <c r="N58" s="44" t="s">
        <v>96</v>
      </c>
      <c r="O58" s="44"/>
      <c r="P58" s="45"/>
      <c r="Q58" s="44" t="s">
        <v>10</v>
      </c>
      <c r="R58" s="44">
        <f>S5+S16+S27+S38</f>
        <v>21150</v>
      </c>
      <c r="S58" s="3"/>
      <c r="T58" s="44" t="s">
        <v>11</v>
      </c>
      <c r="U58" s="44">
        <f>S10+S21+S32+S43</f>
        <v>1688400</v>
      </c>
      <c r="V58" s="3"/>
    </row>
    <row r="59" spans="1:22">
      <c r="A59" s="44"/>
      <c r="B59" s="44"/>
      <c r="C59" s="45"/>
      <c r="D59" s="45"/>
      <c r="E59" s="44"/>
      <c r="F59" s="44"/>
      <c r="G59" s="45"/>
      <c r="H59" s="45"/>
      <c r="I59" s="44"/>
      <c r="J59" s="44"/>
      <c r="K59" s="45"/>
      <c r="L59" s="45"/>
      <c r="M59" s="3"/>
      <c r="N59" s="44"/>
      <c r="O59" s="44"/>
      <c r="P59" s="45"/>
      <c r="Q59" s="44"/>
      <c r="R59" s="44"/>
      <c r="S59" s="3"/>
      <c r="T59" s="44"/>
      <c r="U59" s="44"/>
      <c r="V59" s="3"/>
    </row>
  </sheetData>
  <mergeCells count="131">
    <mergeCell ref="A1:B1"/>
    <mergeCell ref="C1:L1"/>
    <mergeCell ref="N1:O1"/>
    <mergeCell ref="P1:V1"/>
    <mergeCell ref="T2:V2"/>
    <mergeCell ref="T3:V3"/>
    <mergeCell ref="T4:V4"/>
    <mergeCell ref="T5:V5"/>
    <mergeCell ref="T6:V6"/>
    <mergeCell ref="T7:V7"/>
    <mergeCell ref="T8:V8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N46:O46"/>
    <mergeCell ref="Q46:R46"/>
    <mergeCell ref="T46:V46"/>
    <mergeCell ref="Q47:R47"/>
    <mergeCell ref="T47:V47"/>
    <mergeCell ref="Q48:R48"/>
    <mergeCell ref="T48:V48"/>
    <mergeCell ref="Q49:R49"/>
    <mergeCell ref="T49:V49"/>
    <mergeCell ref="Q50:R50"/>
    <mergeCell ref="T50:V50"/>
    <mergeCell ref="Q51:R51"/>
    <mergeCell ref="T51:V51"/>
    <mergeCell ref="Q52:R52"/>
    <mergeCell ref="T52:V52"/>
    <mergeCell ref="Q53:R53"/>
    <mergeCell ref="T53:V53"/>
    <mergeCell ref="Q54:R54"/>
    <mergeCell ref="T54:V54"/>
    <mergeCell ref="Q55:R55"/>
    <mergeCell ref="T55:V55"/>
    <mergeCell ref="Q56:R56"/>
    <mergeCell ref="T56:V56"/>
    <mergeCell ref="Q57:R57"/>
    <mergeCell ref="T57:V57"/>
    <mergeCell ref="E3:E12"/>
    <mergeCell ref="E14:E23"/>
    <mergeCell ref="E25:E34"/>
    <mergeCell ref="E36:E45"/>
    <mergeCell ref="E47:E56"/>
    <mergeCell ref="E58:E59"/>
    <mergeCell ref="F3:F12"/>
    <mergeCell ref="F13:F23"/>
    <mergeCell ref="F24:F34"/>
    <mergeCell ref="F35:F45"/>
    <mergeCell ref="F46:F56"/>
    <mergeCell ref="F58:F59"/>
    <mergeCell ref="I58:I59"/>
    <mergeCell ref="J58:J59"/>
    <mergeCell ref="K3:K12"/>
    <mergeCell ref="K14:K23"/>
    <mergeCell ref="K25:K34"/>
    <mergeCell ref="K36:K45"/>
    <mergeCell ref="K47:K56"/>
    <mergeCell ref="L3:L12"/>
    <mergeCell ref="L13:L23"/>
    <mergeCell ref="L24:L34"/>
    <mergeCell ref="L35:L45"/>
    <mergeCell ref="L46:L56"/>
    <mergeCell ref="M2:M59"/>
    <mergeCell ref="N3:N12"/>
    <mergeCell ref="N14:N23"/>
    <mergeCell ref="N25:N34"/>
    <mergeCell ref="N36:N45"/>
    <mergeCell ref="P58:P59"/>
    <mergeCell ref="Q58:Q59"/>
    <mergeCell ref="R58:R59"/>
    <mergeCell ref="S3:S4"/>
    <mergeCell ref="S5:S7"/>
    <mergeCell ref="S8:S9"/>
    <mergeCell ref="S10:S12"/>
    <mergeCell ref="S14:S15"/>
    <mergeCell ref="S16:S18"/>
    <mergeCell ref="S19:S20"/>
    <mergeCell ref="S21:S23"/>
    <mergeCell ref="S25:S26"/>
    <mergeCell ref="S27:S29"/>
    <mergeCell ref="S30:S31"/>
    <mergeCell ref="S32:S34"/>
    <mergeCell ref="S36:S37"/>
    <mergeCell ref="S38:S40"/>
    <mergeCell ref="S41:S42"/>
    <mergeCell ref="S43:S45"/>
    <mergeCell ref="S58:S59"/>
    <mergeCell ref="T58:T59"/>
    <mergeCell ref="U58:U59"/>
    <mergeCell ref="V58:V59"/>
    <mergeCell ref="N47:O57"/>
    <mergeCell ref="A58:B59"/>
    <mergeCell ref="C58:D59"/>
    <mergeCell ref="G58:H59"/>
    <mergeCell ref="K58:L59"/>
    <mergeCell ref="N58:O59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9"/>
  <sheetViews>
    <sheetView workbookViewId="0">
      <selection activeCell="A1" sqref="A1:V59"/>
    </sheetView>
  </sheetViews>
  <sheetFormatPr defaultColWidth="8.72727272727273" defaultRowHeight="14"/>
  <sheetData>
    <row r="1" ht="36.5" spans="1:22">
      <c r="A1" s="1" t="s">
        <v>0</v>
      </c>
      <c r="B1" s="1"/>
      <c r="C1" s="2" t="s">
        <v>231</v>
      </c>
      <c r="D1" s="2"/>
      <c r="E1" s="2"/>
      <c r="F1" s="2"/>
      <c r="G1" s="2"/>
      <c r="H1" s="2"/>
      <c r="I1" s="2"/>
      <c r="J1" s="2"/>
      <c r="K1" s="2"/>
      <c r="L1" s="2"/>
      <c r="M1" s="2"/>
      <c r="N1" s="1" t="s">
        <v>0</v>
      </c>
      <c r="O1" s="1"/>
      <c r="P1" s="2" t="s">
        <v>231</v>
      </c>
      <c r="Q1" s="2"/>
      <c r="R1" s="2"/>
      <c r="S1" s="2"/>
      <c r="T1" s="2"/>
      <c r="U1" s="2"/>
      <c r="V1" s="2"/>
    </row>
    <row r="2" ht="33" spans="1:22">
      <c r="A2" s="7" t="s">
        <v>2</v>
      </c>
      <c r="B2" s="7" t="s">
        <v>3</v>
      </c>
      <c r="C2" s="7" t="s">
        <v>4</v>
      </c>
      <c r="D2" s="8" t="s">
        <v>232</v>
      </c>
      <c r="E2" s="7" t="s">
        <v>6</v>
      </c>
      <c r="F2" s="7" t="s">
        <v>7</v>
      </c>
      <c r="G2" s="7" t="s">
        <v>2</v>
      </c>
      <c r="H2" s="7" t="s">
        <v>3</v>
      </c>
      <c r="I2" s="7" t="s">
        <v>4</v>
      </c>
      <c r="J2" s="8" t="s">
        <v>232</v>
      </c>
      <c r="K2" s="7" t="s">
        <v>6</v>
      </c>
      <c r="L2" s="7" t="s">
        <v>7</v>
      </c>
      <c r="M2" s="9"/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/>
      <c r="V2" s="7"/>
    </row>
    <row r="3" ht="16.5" spans="1:22">
      <c r="A3" s="10">
        <v>1</v>
      </c>
      <c r="B3" s="11">
        <v>1000</v>
      </c>
      <c r="C3" s="10"/>
      <c r="D3" s="12">
        <v>0.0158</v>
      </c>
      <c r="E3" s="10"/>
      <c r="F3" s="13" t="s">
        <v>15</v>
      </c>
      <c r="G3" s="10">
        <v>51</v>
      </c>
      <c r="H3" s="11">
        <v>1800</v>
      </c>
      <c r="I3" s="11">
        <f>H3+C56</f>
        <v>44320</v>
      </c>
      <c r="J3" s="12">
        <v>0.0833</v>
      </c>
      <c r="K3" s="10"/>
      <c r="L3" s="13" t="s">
        <v>16</v>
      </c>
      <c r="M3" s="3"/>
      <c r="N3" s="14" t="s">
        <v>233</v>
      </c>
      <c r="O3" s="13">
        <v>1</v>
      </c>
      <c r="P3" s="10"/>
      <c r="Q3" s="10"/>
      <c r="R3" s="10"/>
      <c r="S3" s="10" t="s">
        <v>10</v>
      </c>
      <c r="T3" s="15" t="s">
        <v>234</v>
      </c>
      <c r="U3" s="10"/>
      <c r="V3" s="10"/>
    </row>
    <row r="4" ht="16.5" spans="1:22">
      <c r="A4" s="10">
        <v>2</v>
      </c>
      <c r="B4" s="11">
        <v>240</v>
      </c>
      <c r="C4" s="11">
        <f>B3+B4</f>
        <v>1240</v>
      </c>
      <c r="D4" s="12">
        <v>0.0165</v>
      </c>
      <c r="E4" s="10"/>
      <c r="F4" s="13"/>
      <c r="G4" s="11">
        <v>52</v>
      </c>
      <c r="H4" s="11">
        <v>1860</v>
      </c>
      <c r="I4" s="11">
        <f t="shared" ref="I4:I12" si="0">H4+I3</f>
        <v>46180</v>
      </c>
      <c r="J4" s="12">
        <v>0.084</v>
      </c>
      <c r="K4" s="10"/>
      <c r="L4" s="13"/>
      <c r="M4" s="3"/>
      <c r="N4" s="16"/>
      <c r="O4" s="13">
        <v>2</v>
      </c>
      <c r="P4" s="11">
        <v>500</v>
      </c>
      <c r="Q4" s="11">
        <v>43200</v>
      </c>
      <c r="R4" s="10"/>
      <c r="S4" s="10"/>
      <c r="T4" s="15" t="s">
        <v>235</v>
      </c>
      <c r="U4" s="10"/>
      <c r="V4" s="10"/>
    </row>
    <row r="5" ht="16.5" spans="1:22">
      <c r="A5" s="10">
        <v>3</v>
      </c>
      <c r="B5" s="11">
        <v>260</v>
      </c>
      <c r="C5" s="11">
        <f t="shared" ref="C5:C12" si="1">B5+C4</f>
        <v>1500</v>
      </c>
      <c r="D5" s="12">
        <v>0.0173</v>
      </c>
      <c r="E5" s="10"/>
      <c r="F5" s="13"/>
      <c r="G5" s="11">
        <v>53</v>
      </c>
      <c r="H5" s="11">
        <v>1920</v>
      </c>
      <c r="I5" s="11">
        <f t="shared" si="0"/>
        <v>48100</v>
      </c>
      <c r="J5" s="12">
        <v>0.0848</v>
      </c>
      <c r="K5" s="10"/>
      <c r="L5" s="13"/>
      <c r="M5" s="3"/>
      <c r="N5" s="16"/>
      <c r="O5" s="13">
        <v>3</v>
      </c>
      <c r="P5" s="11">
        <v>1000</v>
      </c>
      <c r="Q5" s="11">
        <v>86400</v>
      </c>
      <c r="R5" s="10"/>
      <c r="S5" s="17">
        <f>SUM(P4:P12)</f>
        <v>7500</v>
      </c>
      <c r="T5" s="15" t="s">
        <v>236</v>
      </c>
      <c r="U5" s="10"/>
      <c r="V5" s="10"/>
    </row>
    <row r="6" ht="16.5" spans="1:22">
      <c r="A6" s="10">
        <v>4</v>
      </c>
      <c r="B6" s="11">
        <v>270</v>
      </c>
      <c r="C6" s="11">
        <f t="shared" si="1"/>
        <v>1770</v>
      </c>
      <c r="D6" s="12">
        <v>0.018</v>
      </c>
      <c r="E6" s="10"/>
      <c r="F6" s="13"/>
      <c r="G6" s="11">
        <v>54</v>
      </c>
      <c r="H6" s="11">
        <v>1980</v>
      </c>
      <c r="I6" s="11">
        <f t="shared" si="0"/>
        <v>50080</v>
      </c>
      <c r="J6" s="12">
        <v>0.0855333333333333</v>
      </c>
      <c r="K6" s="10"/>
      <c r="L6" s="13"/>
      <c r="M6" s="3"/>
      <c r="N6" s="16"/>
      <c r="O6" s="13">
        <v>4</v>
      </c>
      <c r="P6" s="11">
        <v>2000</v>
      </c>
      <c r="Q6" s="11">
        <v>172800</v>
      </c>
      <c r="R6" s="10"/>
      <c r="S6" s="18"/>
      <c r="T6" s="15" t="s">
        <v>237</v>
      </c>
      <c r="U6" s="10"/>
      <c r="V6" s="10"/>
    </row>
    <row r="7" ht="16.5" spans="1:22">
      <c r="A7" s="10">
        <v>5</v>
      </c>
      <c r="B7" s="11">
        <v>280</v>
      </c>
      <c r="C7" s="11">
        <f t="shared" si="1"/>
        <v>2050</v>
      </c>
      <c r="D7" s="12">
        <v>0.0188</v>
      </c>
      <c r="E7" s="10"/>
      <c r="F7" s="13"/>
      <c r="G7" s="11">
        <v>55</v>
      </c>
      <c r="H7" s="11">
        <v>2040</v>
      </c>
      <c r="I7" s="11">
        <f t="shared" si="0"/>
        <v>52120</v>
      </c>
      <c r="J7" s="12">
        <v>0.0862833333333333</v>
      </c>
      <c r="K7" s="10"/>
      <c r="L7" s="13"/>
      <c r="M7" s="3"/>
      <c r="N7" s="16"/>
      <c r="O7" s="13">
        <v>5</v>
      </c>
      <c r="P7" s="11">
        <v>4000</v>
      </c>
      <c r="Q7" s="11">
        <v>345600</v>
      </c>
      <c r="R7" s="15" t="s">
        <v>26</v>
      </c>
      <c r="S7" s="19"/>
      <c r="T7" s="15" t="s">
        <v>238</v>
      </c>
      <c r="U7" s="10"/>
      <c r="V7" s="10"/>
    </row>
    <row r="8" ht="16.5" spans="1:22">
      <c r="A8" s="10">
        <v>6</v>
      </c>
      <c r="B8" s="11">
        <v>290</v>
      </c>
      <c r="C8" s="11">
        <f t="shared" si="1"/>
        <v>2340</v>
      </c>
      <c r="D8" s="12">
        <v>0.0195</v>
      </c>
      <c r="E8" s="10"/>
      <c r="F8" s="13"/>
      <c r="G8" s="11">
        <v>56</v>
      </c>
      <c r="H8" s="11">
        <v>2100</v>
      </c>
      <c r="I8" s="11">
        <f t="shared" si="0"/>
        <v>54220</v>
      </c>
      <c r="J8" s="12">
        <v>0.0870333333333333</v>
      </c>
      <c r="K8" s="10"/>
      <c r="L8" s="13"/>
      <c r="M8" s="3"/>
      <c r="N8" s="16"/>
      <c r="O8" s="13"/>
      <c r="P8" s="10"/>
      <c r="Q8" s="10"/>
      <c r="R8" s="10"/>
      <c r="S8" s="10" t="s">
        <v>11</v>
      </c>
      <c r="T8" s="10"/>
      <c r="U8" s="10"/>
      <c r="V8" s="10"/>
    </row>
    <row r="9" ht="16.5" spans="1:22">
      <c r="A9" s="10">
        <v>7</v>
      </c>
      <c r="B9" s="11">
        <v>320</v>
      </c>
      <c r="C9" s="11">
        <f t="shared" si="1"/>
        <v>2660</v>
      </c>
      <c r="D9" s="12">
        <v>0.0203</v>
      </c>
      <c r="E9" s="10"/>
      <c r="F9" s="13"/>
      <c r="G9" s="11">
        <v>57</v>
      </c>
      <c r="H9" s="11">
        <v>2160</v>
      </c>
      <c r="I9" s="11">
        <f t="shared" si="0"/>
        <v>56380</v>
      </c>
      <c r="J9" s="12">
        <v>0.0877833333333333</v>
      </c>
      <c r="K9" s="10"/>
      <c r="L9" s="13"/>
      <c r="M9" s="3"/>
      <c r="N9" s="16"/>
      <c r="O9" s="13"/>
      <c r="P9" s="10"/>
      <c r="Q9" s="10"/>
      <c r="R9" s="10"/>
      <c r="S9" s="10"/>
      <c r="T9" s="10"/>
      <c r="U9" s="10"/>
      <c r="V9" s="10"/>
    </row>
    <row r="10" ht="16.5" spans="1:22">
      <c r="A10" s="10">
        <v>8</v>
      </c>
      <c r="B10" s="11">
        <v>340</v>
      </c>
      <c r="C10" s="11">
        <f t="shared" si="1"/>
        <v>3000</v>
      </c>
      <c r="D10" s="12">
        <v>0.021</v>
      </c>
      <c r="E10" s="10"/>
      <c r="F10" s="13"/>
      <c r="G10" s="11">
        <v>58</v>
      </c>
      <c r="H10" s="11">
        <v>2220</v>
      </c>
      <c r="I10" s="11">
        <f t="shared" si="0"/>
        <v>58600</v>
      </c>
      <c r="J10" s="12">
        <v>0.0885333333333333</v>
      </c>
      <c r="K10" s="10"/>
      <c r="L10" s="13"/>
      <c r="M10" s="3"/>
      <c r="N10" s="16"/>
      <c r="O10" s="13"/>
      <c r="P10" s="10"/>
      <c r="Q10" s="10"/>
      <c r="R10" s="10"/>
      <c r="S10" s="17">
        <f>SUM(Q4:Q12)</f>
        <v>648000</v>
      </c>
      <c r="T10" s="10"/>
      <c r="U10" s="10"/>
      <c r="V10" s="10"/>
    </row>
    <row r="11" ht="16.5" spans="1:22">
      <c r="A11" s="10">
        <v>9</v>
      </c>
      <c r="B11" s="11">
        <v>360</v>
      </c>
      <c r="C11" s="11">
        <f t="shared" si="1"/>
        <v>3360</v>
      </c>
      <c r="D11" s="12">
        <v>0.0218</v>
      </c>
      <c r="E11" s="10"/>
      <c r="F11" s="13"/>
      <c r="G11" s="11">
        <v>59</v>
      </c>
      <c r="H11" s="11">
        <v>2280</v>
      </c>
      <c r="I11" s="11">
        <f t="shared" si="0"/>
        <v>60880</v>
      </c>
      <c r="J11" s="12">
        <v>0.0892833333333333</v>
      </c>
      <c r="K11" s="10"/>
      <c r="L11" s="13"/>
      <c r="M11" s="3"/>
      <c r="N11" s="16"/>
      <c r="O11" s="13"/>
      <c r="P11" s="10"/>
      <c r="Q11" s="10"/>
      <c r="R11" s="10"/>
      <c r="S11" s="18"/>
      <c r="T11" s="10"/>
      <c r="U11" s="10"/>
      <c r="V11" s="10"/>
    </row>
    <row r="12" ht="16.5" spans="1:22">
      <c r="A12" s="10">
        <v>10</v>
      </c>
      <c r="B12" s="11">
        <v>390</v>
      </c>
      <c r="C12" s="11">
        <f t="shared" si="1"/>
        <v>3750</v>
      </c>
      <c r="D12" s="12">
        <v>0.0225</v>
      </c>
      <c r="E12" s="10"/>
      <c r="F12" s="13"/>
      <c r="G12" s="11">
        <v>60</v>
      </c>
      <c r="H12" s="11">
        <v>2340</v>
      </c>
      <c r="I12" s="11">
        <f t="shared" si="0"/>
        <v>63220</v>
      </c>
      <c r="J12" s="12">
        <v>0.09</v>
      </c>
      <c r="K12" s="10"/>
      <c r="L12" s="13"/>
      <c r="M12" s="3"/>
      <c r="N12" s="16"/>
      <c r="O12" s="13"/>
      <c r="P12" s="10"/>
      <c r="Q12" s="10"/>
      <c r="R12" s="10"/>
      <c r="S12" s="19"/>
      <c r="T12" s="10"/>
      <c r="U12" s="10"/>
      <c r="V12" s="10"/>
    </row>
    <row r="13" ht="16.5" spans="1:22">
      <c r="A13" s="10" t="s">
        <v>31</v>
      </c>
      <c r="B13" s="11"/>
      <c r="C13" s="11"/>
      <c r="D13" s="12">
        <v>0.0285</v>
      </c>
      <c r="E13" s="10">
        <v>5</v>
      </c>
      <c r="F13" s="13" t="s">
        <v>32</v>
      </c>
      <c r="G13" s="11" t="s">
        <v>31</v>
      </c>
      <c r="H13" s="11"/>
      <c r="I13" s="11"/>
      <c r="J13" s="12">
        <v>0.096</v>
      </c>
      <c r="K13" s="10">
        <v>30</v>
      </c>
      <c r="L13" s="13" t="s">
        <v>33</v>
      </c>
      <c r="M13" s="3"/>
      <c r="N13" s="7" t="s">
        <v>8</v>
      </c>
      <c r="O13" s="20" t="s">
        <v>2</v>
      </c>
      <c r="P13" s="20" t="s">
        <v>10</v>
      </c>
      <c r="Q13" s="20" t="s">
        <v>11</v>
      </c>
      <c r="R13" s="20" t="s">
        <v>12</v>
      </c>
      <c r="S13" s="20" t="s">
        <v>13</v>
      </c>
      <c r="T13" s="20" t="s">
        <v>14</v>
      </c>
      <c r="U13" s="20"/>
      <c r="V13" s="20"/>
    </row>
    <row r="14" ht="16.5" spans="1:22">
      <c r="A14" s="10">
        <v>11</v>
      </c>
      <c r="B14" s="11">
        <v>410</v>
      </c>
      <c r="C14" s="11">
        <f>B14+C12</f>
        <v>4160</v>
      </c>
      <c r="D14" s="12">
        <v>0.0293</v>
      </c>
      <c r="E14" s="10"/>
      <c r="F14" s="13"/>
      <c r="G14" s="11">
        <v>61</v>
      </c>
      <c r="H14" s="11">
        <v>2400</v>
      </c>
      <c r="I14" s="11">
        <f>H14+I12</f>
        <v>65620</v>
      </c>
      <c r="J14" s="12">
        <v>0.0968</v>
      </c>
      <c r="K14" s="10"/>
      <c r="L14" s="13"/>
      <c r="M14" s="3"/>
      <c r="N14" s="14" t="s">
        <v>239</v>
      </c>
      <c r="O14" s="13">
        <v>1</v>
      </c>
      <c r="P14" s="10"/>
      <c r="Q14" s="10"/>
      <c r="R14" s="10"/>
      <c r="S14" s="10" t="s">
        <v>10</v>
      </c>
      <c r="T14" s="15" t="s">
        <v>240</v>
      </c>
      <c r="U14" s="10"/>
      <c r="V14" s="10"/>
    </row>
    <row r="15" ht="16.5" spans="1:22">
      <c r="A15" s="10">
        <v>12</v>
      </c>
      <c r="B15" s="11">
        <v>440</v>
      </c>
      <c r="C15" s="11">
        <f t="shared" ref="C15:C23" si="2">B15+C14</f>
        <v>4600</v>
      </c>
      <c r="D15" s="12">
        <v>0.03</v>
      </c>
      <c r="E15" s="10"/>
      <c r="F15" s="13"/>
      <c r="G15" s="11">
        <v>62</v>
      </c>
      <c r="H15" s="11">
        <v>2460</v>
      </c>
      <c r="I15" s="11">
        <f t="shared" ref="I15:I23" si="3">H15+I14</f>
        <v>68080</v>
      </c>
      <c r="J15" s="12">
        <v>0.0975</v>
      </c>
      <c r="K15" s="10"/>
      <c r="L15" s="13"/>
      <c r="M15" s="3"/>
      <c r="N15" s="16"/>
      <c r="O15" s="13">
        <v>2</v>
      </c>
      <c r="P15" s="11">
        <v>400</v>
      </c>
      <c r="Q15" s="11">
        <v>34200</v>
      </c>
      <c r="R15" s="10"/>
      <c r="S15" s="10"/>
      <c r="T15" s="15" t="s">
        <v>241</v>
      </c>
      <c r="U15" s="10"/>
      <c r="V15" s="10"/>
    </row>
    <row r="16" ht="16.5" spans="1:22">
      <c r="A16" s="10">
        <v>13</v>
      </c>
      <c r="B16" s="11">
        <v>460</v>
      </c>
      <c r="C16" s="11">
        <f t="shared" si="2"/>
        <v>5060</v>
      </c>
      <c r="D16" s="12">
        <v>0.0308</v>
      </c>
      <c r="E16" s="10"/>
      <c r="F16" s="13"/>
      <c r="G16" s="11">
        <v>63</v>
      </c>
      <c r="H16" s="11">
        <v>2520</v>
      </c>
      <c r="I16" s="11">
        <f t="shared" si="3"/>
        <v>70600</v>
      </c>
      <c r="J16" s="12">
        <v>0.0983</v>
      </c>
      <c r="K16" s="10"/>
      <c r="L16" s="13"/>
      <c r="M16" s="3"/>
      <c r="N16" s="16"/>
      <c r="O16" s="13">
        <v>3</v>
      </c>
      <c r="P16" s="11">
        <v>800</v>
      </c>
      <c r="Q16" s="11">
        <v>69000</v>
      </c>
      <c r="R16" s="10"/>
      <c r="S16" s="17">
        <f>SUM(P15:P23)</f>
        <v>6000</v>
      </c>
      <c r="T16" s="15" t="s">
        <v>242</v>
      </c>
      <c r="U16" s="10"/>
      <c r="V16" s="10"/>
    </row>
    <row r="17" ht="16.5" spans="1:22">
      <c r="A17" s="10">
        <v>14</v>
      </c>
      <c r="B17" s="11">
        <v>480</v>
      </c>
      <c r="C17" s="11">
        <f t="shared" si="2"/>
        <v>5540</v>
      </c>
      <c r="D17" s="12">
        <v>0.0315333333333333</v>
      </c>
      <c r="E17" s="10"/>
      <c r="F17" s="13"/>
      <c r="G17" s="11">
        <v>64</v>
      </c>
      <c r="H17" s="11">
        <v>2580</v>
      </c>
      <c r="I17" s="11">
        <f t="shared" si="3"/>
        <v>73180</v>
      </c>
      <c r="J17" s="12">
        <v>0.0990333333333333</v>
      </c>
      <c r="K17" s="10"/>
      <c r="L17" s="13"/>
      <c r="M17" s="3"/>
      <c r="N17" s="16"/>
      <c r="O17" s="13">
        <v>4</v>
      </c>
      <c r="P17" s="11">
        <v>1600</v>
      </c>
      <c r="Q17" s="11">
        <v>138000</v>
      </c>
      <c r="R17" s="10"/>
      <c r="S17" s="18"/>
      <c r="T17" s="15" t="s">
        <v>243</v>
      </c>
      <c r="U17" s="10"/>
      <c r="V17" s="10"/>
    </row>
    <row r="18" ht="16.5" spans="1:22">
      <c r="A18" s="10">
        <v>15</v>
      </c>
      <c r="B18" s="11">
        <v>510</v>
      </c>
      <c r="C18" s="11">
        <f t="shared" si="2"/>
        <v>6050</v>
      </c>
      <c r="D18" s="12">
        <v>0.0322833333333333</v>
      </c>
      <c r="E18" s="10"/>
      <c r="F18" s="13"/>
      <c r="G18" s="11">
        <v>65</v>
      </c>
      <c r="H18" s="11">
        <v>2640</v>
      </c>
      <c r="I18" s="11">
        <f t="shared" si="3"/>
        <v>75820</v>
      </c>
      <c r="J18" s="12">
        <v>0.0997833333333333</v>
      </c>
      <c r="K18" s="10"/>
      <c r="L18" s="13"/>
      <c r="M18" s="3"/>
      <c r="N18" s="16"/>
      <c r="O18" s="13">
        <v>5</v>
      </c>
      <c r="P18" s="11">
        <v>3200</v>
      </c>
      <c r="Q18" s="11">
        <v>276000</v>
      </c>
      <c r="R18" s="10"/>
      <c r="S18" s="19"/>
      <c r="T18" s="15" t="s">
        <v>244</v>
      </c>
      <c r="U18" s="10"/>
      <c r="V18" s="10"/>
    </row>
    <row r="19" ht="16.5" spans="1:22">
      <c r="A19" s="10">
        <v>16</v>
      </c>
      <c r="B19" s="11">
        <v>530</v>
      </c>
      <c r="C19" s="11">
        <f t="shared" si="2"/>
        <v>6580</v>
      </c>
      <c r="D19" s="12">
        <v>0.0330333333333333</v>
      </c>
      <c r="E19" s="10"/>
      <c r="F19" s="13"/>
      <c r="G19" s="11">
        <v>66</v>
      </c>
      <c r="H19" s="11">
        <v>2700</v>
      </c>
      <c r="I19" s="11">
        <f t="shared" si="3"/>
        <v>78520</v>
      </c>
      <c r="J19" s="12">
        <v>0.100533333333333</v>
      </c>
      <c r="K19" s="10"/>
      <c r="L19" s="13"/>
      <c r="M19" s="3"/>
      <c r="N19" s="16"/>
      <c r="O19" s="13"/>
      <c r="P19" s="10"/>
      <c r="Q19" s="10"/>
      <c r="R19" s="10"/>
      <c r="S19" s="10" t="s">
        <v>11</v>
      </c>
      <c r="T19" s="10"/>
      <c r="U19" s="10"/>
      <c r="V19" s="10"/>
    </row>
    <row r="20" ht="16.5" spans="1:22">
      <c r="A20" s="10">
        <v>17</v>
      </c>
      <c r="B20" s="11">
        <v>560</v>
      </c>
      <c r="C20" s="11">
        <f t="shared" si="2"/>
        <v>7140</v>
      </c>
      <c r="D20" s="12">
        <v>0.0337833333333333</v>
      </c>
      <c r="E20" s="10"/>
      <c r="F20" s="13"/>
      <c r="G20" s="11">
        <v>67</v>
      </c>
      <c r="H20" s="11">
        <v>2760</v>
      </c>
      <c r="I20" s="11">
        <f t="shared" si="3"/>
        <v>81280</v>
      </c>
      <c r="J20" s="12">
        <v>0.101283333333333</v>
      </c>
      <c r="K20" s="10"/>
      <c r="L20" s="13"/>
      <c r="M20" s="3"/>
      <c r="N20" s="16"/>
      <c r="O20" s="13"/>
      <c r="P20" s="10"/>
      <c r="Q20" s="10"/>
      <c r="R20" s="10"/>
      <c r="S20" s="10"/>
      <c r="T20" s="10"/>
      <c r="U20" s="10"/>
      <c r="V20" s="10"/>
    </row>
    <row r="21" ht="16.5" spans="1:22">
      <c r="A21" s="10">
        <v>18</v>
      </c>
      <c r="B21" s="11">
        <v>580</v>
      </c>
      <c r="C21" s="11">
        <f t="shared" si="2"/>
        <v>7720</v>
      </c>
      <c r="D21" s="12">
        <v>0.0345333333333333</v>
      </c>
      <c r="E21" s="10"/>
      <c r="F21" s="13"/>
      <c r="G21" s="11">
        <v>68</v>
      </c>
      <c r="H21" s="11">
        <v>2820</v>
      </c>
      <c r="I21" s="11">
        <f t="shared" si="3"/>
        <v>84100</v>
      </c>
      <c r="J21" s="12">
        <v>0.102033333333333</v>
      </c>
      <c r="K21" s="10"/>
      <c r="L21" s="13"/>
      <c r="M21" s="3"/>
      <c r="N21" s="16"/>
      <c r="O21" s="13"/>
      <c r="P21" s="10"/>
      <c r="Q21" s="10"/>
      <c r="R21" s="10"/>
      <c r="S21" s="17">
        <f>SUM(Q15:Q23)</f>
        <v>517200</v>
      </c>
      <c r="T21" s="10"/>
      <c r="U21" s="10"/>
      <c r="V21" s="10"/>
    </row>
    <row r="22" ht="16.5" spans="1:22">
      <c r="A22" s="10">
        <v>19</v>
      </c>
      <c r="B22" s="11">
        <v>600</v>
      </c>
      <c r="C22" s="11">
        <f t="shared" si="2"/>
        <v>8320</v>
      </c>
      <c r="D22" s="12">
        <v>0.0352833333333333</v>
      </c>
      <c r="E22" s="10"/>
      <c r="F22" s="13"/>
      <c r="G22" s="11">
        <v>69</v>
      </c>
      <c r="H22" s="11">
        <v>2880</v>
      </c>
      <c r="I22" s="11">
        <f t="shared" si="3"/>
        <v>86980</v>
      </c>
      <c r="J22" s="12">
        <v>0.102783333333333</v>
      </c>
      <c r="K22" s="10"/>
      <c r="L22" s="13"/>
      <c r="M22" s="3"/>
      <c r="N22" s="16"/>
      <c r="O22" s="13"/>
      <c r="P22" s="10"/>
      <c r="Q22" s="10"/>
      <c r="R22" s="10"/>
      <c r="S22" s="18"/>
      <c r="T22" s="10"/>
      <c r="U22" s="10"/>
      <c r="V22" s="10"/>
    </row>
    <row r="23" ht="16.5" spans="1:22">
      <c r="A23" s="10">
        <v>20</v>
      </c>
      <c r="B23" s="11">
        <v>630</v>
      </c>
      <c r="C23" s="11">
        <f t="shared" si="2"/>
        <v>8950</v>
      </c>
      <c r="D23" s="12">
        <v>0.036</v>
      </c>
      <c r="E23" s="10"/>
      <c r="F23" s="13"/>
      <c r="G23" s="11">
        <v>70</v>
      </c>
      <c r="H23" s="11">
        <v>2940</v>
      </c>
      <c r="I23" s="11">
        <f t="shared" si="3"/>
        <v>89920</v>
      </c>
      <c r="J23" s="12">
        <v>0.1035</v>
      </c>
      <c r="K23" s="10"/>
      <c r="L23" s="13"/>
      <c r="M23" s="3"/>
      <c r="N23" s="16"/>
      <c r="O23" s="13"/>
      <c r="P23" s="10"/>
      <c r="Q23" s="10"/>
      <c r="R23" s="10"/>
      <c r="S23" s="19"/>
      <c r="T23" s="10"/>
      <c r="U23" s="10"/>
      <c r="V23" s="10"/>
    </row>
    <row r="24" ht="16.5" spans="1:22">
      <c r="A24" s="10" t="s">
        <v>31</v>
      </c>
      <c r="B24" s="11"/>
      <c r="C24" s="11"/>
      <c r="D24" s="12">
        <v>0.042</v>
      </c>
      <c r="E24" s="10">
        <v>10</v>
      </c>
      <c r="F24" s="13" t="s">
        <v>48</v>
      </c>
      <c r="G24" s="11" t="s">
        <v>31</v>
      </c>
      <c r="H24" s="11"/>
      <c r="I24" s="11"/>
      <c r="J24" s="12">
        <v>0.1095</v>
      </c>
      <c r="K24" s="10">
        <v>35</v>
      </c>
      <c r="L24" s="13" t="s">
        <v>49</v>
      </c>
      <c r="M24" s="3"/>
      <c r="N24" s="7" t="s">
        <v>8</v>
      </c>
      <c r="O24" s="20" t="s">
        <v>9</v>
      </c>
      <c r="P24" s="20" t="s">
        <v>10</v>
      </c>
      <c r="Q24" s="20" t="s">
        <v>11</v>
      </c>
      <c r="R24" s="20" t="s">
        <v>12</v>
      </c>
      <c r="S24" s="20" t="s">
        <v>13</v>
      </c>
      <c r="T24" s="20" t="s">
        <v>14</v>
      </c>
      <c r="U24" s="20"/>
      <c r="V24" s="20"/>
    </row>
    <row r="25" ht="16.5" spans="1:22">
      <c r="A25" s="10">
        <v>21</v>
      </c>
      <c r="B25" s="11">
        <v>650</v>
      </c>
      <c r="C25" s="11">
        <f>B25+C23</f>
        <v>9600</v>
      </c>
      <c r="D25" s="12">
        <v>0.0428</v>
      </c>
      <c r="E25" s="10"/>
      <c r="F25" s="13"/>
      <c r="G25" s="11">
        <v>71</v>
      </c>
      <c r="H25" s="11">
        <v>3000</v>
      </c>
      <c r="I25" s="11">
        <f>H25+I23</f>
        <v>92920</v>
      </c>
      <c r="J25" s="12">
        <v>0.1103</v>
      </c>
      <c r="K25" s="10"/>
      <c r="L25" s="13"/>
      <c r="M25" s="3"/>
      <c r="N25" s="14" t="s">
        <v>245</v>
      </c>
      <c r="O25" s="13">
        <v>1</v>
      </c>
      <c r="P25" s="10"/>
      <c r="Q25" s="10"/>
      <c r="R25" s="10"/>
      <c r="S25" s="10" t="s">
        <v>10</v>
      </c>
      <c r="T25" s="15" t="s">
        <v>246</v>
      </c>
      <c r="U25" s="10"/>
      <c r="V25" s="10"/>
    </row>
    <row r="26" ht="16.5" spans="1:22">
      <c r="A26" s="10">
        <v>22</v>
      </c>
      <c r="B26" s="11">
        <v>680</v>
      </c>
      <c r="C26" s="11">
        <f t="shared" ref="C26:C34" si="4">B26+C25</f>
        <v>10280</v>
      </c>
      <c r="D26" s="12">
        <v>0.0435</v>
      </c>
      <c r="E26" s="10"/>
      <c r="F26" s="13"/>
      <c r="G26" s="11">
        <v>72</v>
      </c>
      <c r="H26" s="11">
        <v>3060</v>
      </c>
      <c r="I26" s="11">
        <f t="shared" ref="I26:I34" si="5">H26+I25</f>
        <v>95980</v>
      </c>
      <c r="J26" s="12">
        <v>0.111</v>
      </c>
      <c r="K26" s="10"/>
      <c r="L26" s="13"/>
      <c r="M26" s="3"/>
      <c r="N26" s="16"/>
      <c r="O26" s="13">
        <v>2</v>
      </c>
      <c r="P26" s="11">
        <v>200</v>
      </c>
      <c r="Q26" s="11">
        <v>13800</v>
      </c>
      <c r="R26" s="10"/>
      <c r="S26" s="10"/>
      <c r="T26" s="15" t="s">
        <v>247</v>
      </c>
      <c r="U26" s="10"/>
      <c r="V26" s="10"/>
    </row>
    <row r="27" ht="16.5" spans="1:22">
      <c r="A27" s="10">
        <v>23</v>
      </c>
      <c r="B27" s="11">
        <v>700</v>
      </c>
      <c r="C27" s="11">
        <f t="shared" si="4"/>
        <v>10980</v>
      </c>
      <c r="D27" s="12">
        <v>0.0443</v>
      </c>
      <c r="E27" s="10"/>
      <c r="F27" s="13"/>
      <c r="G27" s="11">
        <v>73</v>
      </c>
      <c r="H27" s="11">
        <v>3120</v>
      </c>
      <c r="I27" s="11">
        <f t="shared" si="5"/>
        <v>99100</v>
      </c>
      <c r="J27" s="12">
        <v>0.1118</v>
      </c>
      <c r="K27" s="10"/>
      <c r="L27" s="13"/>
      <c r="M27" s="3"/>
      <c r="N27" s="16"/>
      <c r="O27" s="13">
        <v>3</v>
      </c>
      <c r="P27" s="11">
        <v>400</v>
      </c>
      <c r="Q27" s="11">
        <v>27600</v>
      </c>
      <c r="R27" s="10"/>
      <c r="S27" s="17">
        <f>SUM(P26:P34)</f>
        <v>3000</v>
      </c>
      <c r="T27" s="15" t="s">
        <v>248</v>
      </c>
      <c r="U27" s="10"/>
      <c r="V27" s="10"/>
    </row>
    <row r="28" ht="16.5" spans="1:22">
      <c r="A28" s="10">
        <v>24</v>
      </c>
      <c r="B28" s="11">
        <v>720</v>
      </c>
      <c r="C28" s="11">
        <f t="shared" si="4"/>
        <v>11700</v>
      </c>
      <c r="D28" s="12">
        <v>0.0450333333333333</v>
      </c>
      <c r="E28" s="10"/>
      <c r="F28" s="13"/>
      <c r="G28" s="11">
        <v>74</v>
      </c>
      <c r="H28" s="11">
        <v>3180</v>
      </c>
      <c r="I28" s="11">
        <f t="shared" si="5"/>
        <v>102280</v>
      </c>
      <c r="J28" s="12">
        <v>0.112533333333333</v>
      </c>
      <c r="K28" s="10"/>
      <c r="L28" s="13"/>
      <c r="M28" s="3"/>
      <c r="N28" s="16"/>
      <c r="O28" s="13">
        <v>4</v>
      </c>
      <c r="P28" s="11">
        <v>800</v>
      </c>
      <c r="Q28" s="11">
        <v>55200</v>
      </c>
      <c r="R28" s="10"/>
      <c r="S28" s="18"/>
      <c r="T28" s="15" t="s">
        <v>249</v>
      </c>
      <c r="U28" s="10"/>
      <c r="V28" s="10"/>
    </row>
    <row r="29" ht="16.5" spans="1:22">
      <c r="A29" s="10">
        <v>25</v>
      </c>
      <c r="B29" s="11">
        <v>750</v>
      </c>
      <c r="C29" s="11">
        <f t="shared" si="4"/>
        <v>12450</v>
      </c>
      <c r="D29" s="12">
        <v>0.0457833333333333</v>
      </c>
      <c r="E29" s="10"/>
      <c r="F29" s="13"/>
      <c r="G29" s="11">
        <v>75</v>
      </c>
      <c r="H29" s="11">
        <v>3240</v>
      </c>
      <c r="I29" s="11">
        <f t="shared" si="5"/>
        <v>105520</v>
      </c>
      <c r="J29" s="12">
        <v>0.113283333333333</v>
      </c>
      <c r="K29" s="10"/>
      <c r="L29" s="13"/>
      <c r="M29" s="3"/>
      <c r="N29" s="16"/>
      <c r="O29" s="13">
        <v>5</v>
      </c>
      <c r="P29" s="11">
        <v>1600</v>
      </c>
      <c r="Q29" s="11">
        <v>110400</v>
      </c>
      <c r="R29" s="10"/>
      <c r="S29" s="19"/>
      <c r="T29" s="15" t="s">
        <v>250</v>
      </c>
      <c r="U29" s="10"/>
      <c r="V29" s="10"/>
    </row>
    <row r="30" ht="16.5" spans="1:22">
      <c r="A30" s="10">
        <v>26</v>
      </c>
      <c r="B30" s="11">
        <v>770</v>
      </c>
      <c r="C30" s="11">
        <f t="shared" si="4"/>
        <v>13220</v>
      </c>
      <c r="D30" s="12">
        <v>0.0465333333333333</v>
      </c>
      <c r="E30" s="10"/>
      <c r="F30" s="13"/>
      <c r="G30" s="11">
        <v>76</v>
      </c>
      <c r="H30" s="11">
        <v>3300</v>
      </c>
      <c r="I30" s="11">
        <f t="shared" si="5"/>
        <v>108820</v>
      </c>
      <c r="J30" s="12">
        <v>0.114033333333333</v>
      </c>
      <c r="K30" s="10"/>
      <c r="L30" s="13"/>
      <c r="M30" s="3"/>
      <c r="N30" s="16"/>
      <c r="O30" s="13"/>
      <c r="P30" s="10"/>
      <c r="Q30" s="10"/>
      <c r="R30" s="10"/>
      <c r="S30" s="10" t="s">
        <v>11</v>
      </c>
      <c r="T30" s="10"/>
      <c r="U30" s="10"/>
      <c r="V30" s="10"/>
    </row>
    <row r="31" ht="16.5" spans="1:22">
      <c r="A31" s="10">
        <v>27</v>
      </c>
      <c r="B31" s="11">
        <v>800</v>
      </c>
      <c r="C31" s="11">
        <f t="shared" si="4"/>
        <v>14020</v>
      </c>
      <c r="D31" s="12">
        <v>0.0472833333333333</v>
      </c>
      <c r="E31" s="10"/>
      <c r="F31" s="13"/>
      <c r="G31" s="11">
        <v>77</v>
      </c>
      <c r="H31" s="11">
        <v>3360</v>
      </c>
      <c r="I31" s="11">
        <f t="shared" si="5"/>
        <v>112180</v>
      </c>
      <c r="J31" s="12">
        <v>0.114783333333333</v>
      </c>
      <c r="K31" s="10"/>
      <c r="L31" s="13"/>
      <c r="M31" s="3"/>
      <c r="N31" s="16"/>
      <c r="O31" s="13"/>
      <c r="P31" s="10"/>
      <c r="Q31" s="10"/>
      <c r="R31" s="10"/>
      <c r="S31" s="10"/>
      <c r="T31" s="10"/>
      <c r="U31" s="10"/>
      <c r="V31" s="10"/>
    </row>
    <row r="32" ht="16.5" spans="1:22">
      <c r="A32" s="10">
        <v>28</v>
      </c>
      <c r="B32" s="11">
        <v>820</v>
      </c>
      <c r="C32" s="11">
        <f t="shared" si="4"/>
        <v>14840</v>
      </c>
      <c r="D32" s="12">
        <v>0.0480333333333333</v>
      </c>
      <c r="E32" s="10"/>
      <c r="F32" s="13"/>
      <c r="G32" s="11">
        <v>78</v>
      </c>
      <c r="H32" s="11">
        <v>3420</v>
      </c>
      <c r="I32" s="11">
        <f t="shared" si="5"/>
        <v>115600</v>
      </c>
      <c r="J32" s="12">
        <v>0.115533333333333</v>
      </c>
      <c r="K32" s="10"/>
      <c r="L32" s="13"/>
      <c r="M32" s="3"/>
      <c r="N32" s="16"/>
      <c r="O32" s="13"/>
      <c r="P32" s="10"/>
      <c r="Q32" s="10"/>
      <c r="R32" s="10"/>
      <c r="S32" s="17">
        <f>SUM(Q26:Q34)</f>
        <v>207000</v>
      </c>
      <c r="T32" s="10"/>
      <c r="U32" s="10"/>
      <c r="V32" s="10"/>
    </row>
    <row r="33" ht="16.5" spans="1:22">
      <c r="A33" s="10">
        <v>29</v>
      </c>
      <c r="B33" s="11">
        <v>840</v>
      </c>
      <c r="C33" s="11">
        <f t="shared" si="4"/>
        <v>15680</v>
      </c>
      <c r="D33" s="12">
        <v>0.0487833333333333</v>
      </c>
      <c r="E33" s="10"/>
      <c r="F33" s="13"/>
      <c r="G33" s="11">
        <v>79</v>
      </c>
      <c r="H33" s="11">
        <v>3480</v>
      </c>
      <c r="I33" s="11">
        <f t="shared" si="5"/>
        <v>119080</v>
      </c>
      <c r="J33" s="12">
        <v>0.116283333333333</v>
      </c>
      <c r="K33" s="10"/>
      <c r="L33" s="13"/>
      <c r="M33" s="3"/>
      <c r="N33" s="16"/>
      <c r="O33" s="13"/>
      <c r="P33" s="10"/>
      <c r="Q33" s="10"/>
      <c r="R33" s="10"/>
      <c r="S33" s="18"/>
      <c r="T33" s="10"/>
      <c r="U33" s="10"/>
      <c r="V33" s="10"/>
    </row>
    <row r="34" ht="16.5" spans="1:22">
      <c r="A34" s="10">
        <v>30</v>
      </c>
      <c r="B34" s="11">
        <v>880</v>
      </c>
      <c r="C34" s="11">
        <f t="shared" si="4"/>
        <v>16560</v>
      </c>
      <c r="D34" s="12">
        <v>0.0495</v>
      </c>
      <c r="E34" s="10"/>
      <c r="F34" s="13"/>
      <c r="G34" s="11">
        <v>80</v>
      </c>
      <c r="H34" s="11">
        <v>3540</v>
      </c>
      <c r="I34" s="11">
        <f t="shared" si="5"/>
        <v>122620</v>
      </c>
      <c r="J34" s="12">
        <v>0.117</v>
      </c>
      <c r="K34" s="10"/>
      <c r="L34" s="13"/>
      <c r="M34" s="3"/>
      <c r="N34" s="16"/>
      <c r="O34" s="13"/>
      <c r="P34" s="10"/>
      <c r="Q34" s="10"/>
      <c r="R34" s="10"/>
      <c r="S34" s="19"/>
      <c r="T34" s="10"/>
      <c r="U34" s="10"/>
      <c r="V34" s="10"/>
    </row>
    <row r="35" ht="16.5" spans="1:22">
      <c r="A35" s="10" t="s">
        <v>31</v>
      </c>
      <c r="B35" s="11"/>
      <c r="C35" s="11"/>
      <c r="D35" s="12">
        <v>0.0555</v>
      </c>
      <c r="E35" s="10">
        <v>15</v>
      </c>
      <c r="F35" s="13" t="s">
        <v>64</v>
      </c>
      <c r="G35" s="11" t="s">
        <v>31</v>
      </c>
      <c r="H35" s="11"/>
      <c r="I35" s="11"/>
      <c r="J35" s="12">
        <v>0.123</v>
      </c>
      <c r="K35" s="10">
        <v>40</v>
      </c>
      <c r="L35" s="13" t="s">
        <v>65</v>
      </c>
      <c r="M35" s="3"/>
      <c r="N35" s="7" t="s">
        <v>8</v>
      </c>
      <c r="O35" s="20" t="s">
        <v>9</v>
      </c>
      <c r="P35" s="20" t="s">
        <v>10</v>
      </c>
      <c r="Q35" s="20" t="s">
        <v>11</v>
      </c>
      <c r="R35" s="20" t="s">
        <v>12</v>
      </c>
      <c r="S35" s="20" t="s">
        <v>13</v>
      </c>
      <c r="T35" s="20" t="s">
        <v>14</v>
      </c>
      <c r="U35" s="20"/>
      <c r="V35" s="20"/>
    </row>
    <row r="36" ht="16.5" spans="1:22">
      <c r="A36" s="10">
        <v>31</v>
      </c>
      <c r="B36" s="11">
        <v>920</v>
      </c>
      <c r="C36" s="11">
        <f>B36+C34</f>
        <v>17480</v>
      </c>
      <c r="D36" s="12">
        <v>0.0563</v>
      </c>
      <c r="E36" s="10"/>
      <c r="F36" s="13"/>
      <c r="G36" s="11">
        <v>81</v>
      </c>
      <c r="H36" s="11">
        <v>3600</v>
      </c>
      <c r="I36" s="11">
        <f>H36+I34</f>
        <v>126220</v>
      </c>
      <c r="J36" s="12">
        <v>0.1238</v>
      </c>
      <c r="K36" s="10"/>
      <c r="L36" s="13"/>
      <c r="M36" s="3"/>
      <c r="N36" s="14" t="s">
        <v>251</v>
      </c>
      <c r="O36" s="13">
        <v>1</v>
      </c>
      <c r="P36" s="10"/>
      <c r="Q36" s="10"/>
      <c r="R36" s="10"/>
      <c r="S36" s="10" t="s">
        <v>10</v>
      </c>
      <c r="T36" s="15" t="s">
        <v>252</v>
      </c>
      <c r="U36" s="10"/>
      <c r="V36" s="10"/>
    </row>
    <row r="37" ht="16.5" spans="1:22">
      <c r="A37" s="10">
        <v>32</v>
      </c>
      <c r="B37" s="11">
        <v>950</v>
      </c>
      <c r="C37" s="11">
        <f t="shared" ref="C37:C45" si="6">B37+C36</f>
        <v>18430</v>
      </c>
      <c r="D37" s="12">
        <v>0.057</v>
      </c>
      <c r="E37" s="10"/>
      <c r="F37" s="13"/>
      <c r="G37" s="11">
        <v>82</v>
      </c>
      <c r="H37" s="11">
        <v>3660</v>
      </c>
      <c r="I37" s="11">
        <f t="shared" ref="I37:I45" si="7">H37+I36</f>
        <v>129880</v>
      </c>
      <c r="J37" s="12">
        <v>0.1245</v>
      </c>
      <c r="K37" s="10"/>
      <c r="L37" s="13"/>
      <c r="M37" s="3"/>
      <c r="N37" s="16"/>
      <c r="O37" s="13">
        <v>2</v>
      </c>
      <c r="P37" s="11">
        <v>100</v>
      </c>
      <c r="Q37" s="11">
        <v>10200</v>
      </c>
      <c r="R37" s="10"/>
      <c r="S37" s="10"/>
      <c r="T37" s="15" t="s">
        <v>253</v>
      </c>
      <c r="U37" s="10"/>
      <c r="V37" s="10"/>
    </row>
    <row r="38" ht="16.5" spans="1:22">
      <c r="A38" s="10">
        <v>33</v>
      </c>
      <c r="B38" s="11">
        <v>990</v>
      </c>
      <c r="C38" s="11">
        <f t="shared" si="6"/>
        <v>19420</v>
      </c>
      <c r="D38" s="12">
        <v>0.0578</v>
      </c>
      <c r="E38" s="10"/>
      <c r="F38" s="13"/>
      <c r="G38" s="11">
        <v>83</v>
      </c>
      <c r="H38" s="11">
        <v>3720</v>
      </c>
      <c r="I38" s="11">
        <f t="shared" si="7"/>
        <v>133600</v>
      </c>
      <c r="J38" s="12">
        <v>0.125266666666667</v>
      </c>
      <c r="K38" s="10"/>
      <c r="L38" s="13"/>
      <c r="M38" s="3"/>
      <c r="N38" s="16"/>
      <c r="O38" s="13">
        <v>3</v>
      </c>
      <c r="P38" s="11">
        <v>200</v>
      </c>
      <c r="Q38" s="11">
        <v>20400</v>
      </c>
      <c r="R38" s="10"/>
      <c r="S38" s="17">
        <f>SUM(P37:P45)</f>
        <v>4500</v>
      </c>
      <c r="T38" s="15" t="s">
        <v>254</v>
      </c>
      <c r="U38" s="10"/>
      <c r="V38" s="10"/>
    </row>
    <row r="39" ht="16.5" spans="1:22">
      <c r="A39" s="10">
        <v>34</v>
      </c>
      <c r="B39" s="11">
        <v>1020</v>
      </c>
      <c r="C39" s="11">
        <f t="shared" si="6"/>
        <v>20440</v>
      </c>
      <c r="D39" s="12">
        <v>0.0585333333333333</v>
      </c>
      <c r="E39" s="10"/>
      <c r="F39" s="13"/>
      <c r="G39" s="11">
        <v>84</v>
      </c>
      <c r="H39" s="11">
        <v>3780</v>
      </c>
      <c r="I39" s="11">
        <f t="shared" si="7"/>
        <v>137380</v>
      </c>
      <c r="J39" s="12">
        <v>0.126016666666667</v>
      </c>
      <c r="K39" s="10"/>
      <c r="L39" s="13"/>
      <c r="M39" s="3"/>
      <c r="N39" s="16"/>
      <c r="O39" s="13">
        <v>4</v>
      </c>
      <c r="P39" s="11">
        <v>300</v>
      </c>
      <c r="Q39" s="11">
        <v>30600</v>
      </c>
      <c r="R39" s="10"/>
      <c r="S39" s="18"/>
      <c r="T39" s="15" t="s">
        <v>255</v>
      </c>
      <c r="U39" s="10"/>
      <c r="V39" s="10"/>
    </row>
    <row r="40" ht="16.5" spans="1:22">
      <c r="A40" s="10">
        <v>35</v>
      </c>
      <c r="B40" s="11">
        <v>1060</v>
      </c>
      <c r="C40" s="11">
        <f t="shared" si="6"/>
        <v>21500</v>
      </c>
      <c r="D40" s="12">
        <v>0.0592833333333333</v>
      </c>
      <c r="E40" s="10"/>
      <c r="F40" s="13"/>
      <c r="G40" s="11">
        <v>85</v>
      </c>
      <c r="H40" s="11">
        <v>3840</v>
      </c>
      <c r="I40" s="11">
        <f t="shared" si="7"/>
        <v>141220</v>
      </c>
      <c r="J40" s="12">
        <v>0.126766666666667</v>
      </c>
      <c r="K40" s="10"/>
      <c r="L40" s="13"/>
      <c r="M40" s="3"/>
      <c r="N40" s="16"/>
      <c r="O40" s="13">
        <v>5</v>
      </c>
      <c r="P40" s="11">
        <v>400</v>
      </c>
      <c r="Q40" s="11">
        <v>41400</v>
      </c>
      <c r="R40" s="10"/>
      <c r="S40" s="19"/>
      <c r="T40" s="15" t="s">
        <v>256</v>
      </c>
      <c r="U40" s="10"/>
      <c r="V40" s="10"/>
    </row>
    <row r="41" ht="16.5" spans="1:22">
      <c r="A41" s="10">
        <v>36</v>
      </c>
      <c r="B41" s="11">
        <v>1100</v>
      </c>
      <c r="C41" s="11">
        <f t="shared" si="6"/>
        <v>22600</v>
      </c>
      <c r="D41" s="12">
        <v>0.0600333333333334</v>
      </c>
      <c r="E41" s="10"/>
      <c r="F41" s="13"/>
      <c r="G41" s="11">
        <v>86</v>
      </c>
      <c r="H41" s="11">
        <v>3900</v>
      </c>
      <c r="I41" s="11">
        <f t="shared" si="7"/>
        <v>145120</v>
      </c>
      <c r="J41" s="12">
        <v>0.127516666666667</v>
      </c>
      <c r="K41" s="10"/>
      <c r="L41" s="13"/>
      <c r="M41" s="3"/>
      <c r="N41" s="16"/>
      <c r="O41" s="13">
        <v>6</v>
      </c>
      <c r="P41" s="11">
        <v>500</v>
      </c>
      <c r="Q41" s="11">
        <v>51600</v>
      </c>
      <c r="R41" s="10"/>
      <c r="S41" s="10" t="s">
        <v>11</v>
      </c>
      <c r="T41" s="15" t="s">
        <v>257</v>
      </c>
      <c r="U41" s="10"/>
      <c r="V41" s="10"/>
    </row>
    <row r="42" ht="16.5" spans="1:22">
      <c r="A42" s="10">
        <v>37</v>
      </c>
      <c r="B42" s="11">
        <v>1130</v>
      </c>
      <c r="C42" s="11">
        <f t="shared" si="6"/>
        <v>23730</v>
      </c>
      <c r="D42" s="12">
        <v>0.0607833333333334</v>
      </c>
      <c r="E42" s="10"/>
      <c r="F42" s="13"/>
      <c r="G42" s="11">
        <v>87</v>
      </c>
      <c r="H42" s="11">
        <v>3960</v>
      </c>
      <c r="I42" s="11">
        <f t="shared" si="7"/>
        <v>149080</v>
      </c>
      <c r="J42" s="12">
        <v>0.128266666666667</v>
      </c>
      <c r="K42" s="10"/>
      <c r="L42" s="13"/>
      <c r="M42" s="3"/>
      <c r="N42" s="16"/>
      <c r="O42" s="13">
        <v>7</v>
      </c>
      <c r="P42" s="11">
        <v>600</v>
      </c>
      <c r="Q42" s="11">
        <v>61800</v>
      </c>
      <c r="R42" s="10"/>
      <c r="S42" s="10"/>
      <c r="T42" s="15" t="s">
        <v>258</v>
      </c>
      <c r="U42" s="10"/>
      <c r="V42" s="10"/>
    </row>
    <row r="43" ht="16.5" spans="1:22">
      <c r="A43" s="10">
        <v>38</v>
      </c>
      <c r="B43" s="11">
        <v>1170</v>
      </c>
      <c r="C43" s="11">
        <f t="shared" si="6"/>
        <v>24900</v>
      </c>
      <c r="D43" s="12">
        <v>0.0615333333333334</v>
      </c>
      <c r="E43" s="10"/>
      <c r="F43" s="13"/>
      <c r="G43" s="11">
        <v>88</v>
      </c>
      <c r="H43" s="11">
        <v>4020</v>
      </c>
      <c r="I43" s="11">
        <f t="shared" si="7"/>
        <v>153100</v>
      </c>
      <c r="J43" s="12">
        <v>0.129016666666667</v>
      </c>
      <c r="K43" s="10"/>
      <c r="L43" s="13"/>
      <c r="M43" s="3"/>
      <c r="N43" s="16"/>
      <c r="O43" s="13">
        <v>8</v>
      </c>
      <c r="P43" s="11">
        <v>700</v>
      </c>
      <c r="Q43" s="11">
        <v>72600</v>
      </c>
      <c r="R43" s="15" t="s">
        <v>59</v>
      </c>
      <c r="S43" s="17">
        <f>SUM(Q37:Q45)</f>
        <v>464400</v>
      </c>
      <c r="T43" s="15" t="s">
        <v>259</v>
      </c>
      <c r="U43" s="10"/>
      <c r="V43" s="10"/>
    </row>
    <row r="44" ht="16.5" spans="1:22">
      <c r="A44" s="10">
        <v>39</v>
      </c>
      <c r="B44" s="11">
        <v>1200</v>
      </c>
      <c r="C44" s="11">
        <f t="shared" si="6"/>
        <v>26100</v>
      </c>
      <c r="D44" s="12">
        <v>0.0622833333333334</v>
      </c>
      <c r="E44" s="10"/>
      <c r="F44" s="13"/>
      <c r="G44" s="11">
        <v>89</v>
      </c>
      <c r="H44" s="11">
        <v>4080</v>
      </c>
      <c r="I44" s="11">
        <f t="shared" si="7"/>
        <v>157180</v>
      </c>
      <c r="J44" s="12">
        <v>0.129766666666667</v>
      </c>
      <c r="K44" s="10"/>
      <c r="L44" s="13"/>
      <c r="M44" s="3"/>
      <c r="N44" s="16"/>
      <c r="O44" s="13">
        <v>9</v>
      </c>
      <c r="P44" s="11">
        <v>800</v>
      </c>
      <c r="Q44" s="11">
        <v>82800</v>
      </c>
      <c r="R44" s="10"/>
      <c r="S44" s="18"/>
      <c r="T44" s="15" t="s">
        <v>260</v>
      </c>
      <c r="U44" s="10"/>
      <c r="V44" s="10"/>
    </row>
    <row r="45" ht="16.5" spans="1:22">
      <c r="A45" s="10">
        <v>40</v>
      </c>
      <c r="B45" s="11">
        <v>1250</v>
      </c>
      <c r="C45" s="11">
        <f t="shared" si="6"/>
        <v>27350</v>
      </c>
      <c r="D45" s="12">
        <v>0.063</v>
      </c>
      <c r="E45" s="10"/>
      <c r="F45" s="13"/>
      <c r="G45" s="11">
        <v>90</v>
      </c>
      <c r="H45" s="11">
        <v>4140</v>
      </c>
      <c r="I45" s="11">
        <f t="shared" si="7"/>
        <v>161320</v>
      </c>
      <c r="J45" s="12">
        <v>0.1305</v>
      </c>
      <c r="K45" s="10"/>
      <c r="L45" s="13"/>
      <c r="M45" s="3"/>
      <c r="N45" s="16"/>
      <c r="O45" s="13">
        <v>10</v>
      </c>
      <c r="P45" s="11">
        <v>900</v>
      </c>
      <c r="Q45" s="11">
        <v>93000</v>
      </c>
      <c r="R45" s="10"/>
      <c r="S45" s="19"/>
      <c r="T45" s="15" t="s">
        <v>261</v>
      </c>
      <c r="U45" s="10"/>
      <c r="V45" s="10"/>
    </row>
    <row r="46" ht="16.5" spans="1:22">
      <c r="A46" s="10" t="s">
        <v>31</v>
      </c>
      <c r="B46" s="11"/>
      <c r="C46" s="11"/>
      <c r="D46" s="12">
        <v>0.069</v>
      </c>
      <c r="E46" s="10">
        <v>20</v>
      </c>
      <c r="F46" s="13" t="s">
        <v>80</v>
      </c>
      <c r="G46" s="11" t="s">
        <v>31</v>
      </c>
      <c r="H46" s="11"/>
      <c r="I46" s="11"/>
      <c r="J46" s="12">
        <v>0.1365</v>
      </c>
      <c r="K46" s="10">
        <v>45</v>
      </c>
      <c r="L46" s="13" t="s">
        <v>81</v>
      </c>
      <c r="M46" s="3"/>
      <c r="N46" s="20" t="s">
        <v>8</v>
      </c>
      <c r="O46" s="20"/>
      <c r="P46" s="20" t="s">
        <v>2</v>
      </c>
      <c r="Q46" s="20" t="s">
        <v>7</v>
      </c>
      <c r="R46" s="20"/>
      <c r="S46" s="20" t="s">
        <v>82</v>
      </c>
      <c r="T46" s="20" t="s">
        <v>14</v>
      </c>
      <c r="U46" s="20"/>
      <c r="V46" s="20"/>
    </row>
    <row r="47" ht="16.5" spans="1:22">
      <c r="A47" s="10">
        <v>41</v>
      </c>
      <c r="B47" s="11">
        <v>1300</v>
      </c>
      <c r="C47" s="11">
        <f>B47+C45</f>
        <v>28650</v>
      </c>
      <c r="D47" s="12">
        <v>0.0698</v>
      </c>
      <c r="E47" s="10"/>
      <c r="F47" s="13"/>
      <c r="G47" s="11">
        <v>91</v>
      </c>
      <c r="H47" s="11">
        <v>4200</v>
      </c>
      <c r="I47" s="11">
        <f>H47+I45</f>
        <v>165520</v>
      </c>
      <c r="J47" s="12">
        <v>0.1373</v>
      </c>
      <c r="K47" s="10"/>
      <c r="L47" s="13"/>
      <c r="M47" s="3"/>
      <c r="N47" s="14" t="s">
        <v>262</v>
      </c>
      <c r="O47" s="16"/>
      <c r="P47" s="13">
        <v>1</v>
      </c>
      <c r="Q47" s="10" t="s">
        <v>15</v>
      </c>
      <c r="R47" s="10"/>
      <c r="S47" s="10">
        <v>1</v>
      </c>
      <c r="T47" s="15" t="s">
        <v>263</v>
      </c>
      <c r="U47" s="10"/>
      <c r="V47" s="10"/>
    </row>
    <row r="48" ht="16.5" spans="1:22">
      <c r="A48" s="10">
        <v>42</v>
      </c>
      <c r="B48" s="11">
        <v>1350</v>
      </c>
      <c r="C48" s="11">
        <f t="shared" ref="C48:C56" si="8">B48+C47</f>
        <v>30000</v>
      </c>
      <c r="D48" s="12">
        <v>0.0705</v>
      </c>
      <c r="E48" s="10"/>
      <c r="F48" s="13"/>
      <c r="G48" s="11">
        <v>92</v>
      </c>
      <c r="H48" s="11">
        <v>4260</v>
      </c>
      <c r="I48" s="11">
        <f t="shared" ref="I48:I56" si="9">H48+I47</f>
        <v>169780</v>
      </c>
      <c r="J48" s="12">
        <v>0.138</v>
      </c>
      <c r="K48" s="10"/>
      <c r="L48" s="13"/>
      <c r="M48" s="3"/>
      <c r="N48" s="16"/>
      <c r="O48" s="16"/>
      <c r="P48" s="13">
        <v>10</v>
      </c>
      <c r="Q48" s="10" t="s">
        <v>32</v>
      </c>
      <c r="R48" s="10"/>
      <c r="S48" s="10">
        <v>2</v>
      </c>
      <c r="T48" s="15" t="s">
        <v>264</v>
      </c>
      <c r="U48" s="10"/>
      <c r="V48" s="10"/>
    </row>
    <row r="49" ht="16.5" spans="1:22">
      <c r="A49" s="10">
        <v>43</v>
      </c>
      <c r="B49" s="11">
        <v>1400</v>
      </c>
      <c r="C49" s="11">
        <f t="shared" si="8"/>
        <v>31400</v>
      </c>
      <c r="D49" s="12">
        <v>0.0713</v>
      </c>
      <c r="E49" s="10"/>
      <c r="F49" s="13"/>
      <c r="G49" s="11">
        <v>93</v>
      </c>
      <c r="H49" s="11">
        <v>4320</v>
      </c>
      <c r="I49" s="11">
        <f t="shared" si="9"/>
        <v>174100</v>
      </c>
      <c r="J49" s="12">
        <v>0.1388</v>
      </c>
      <c r="K49" s="10"/>
      <c r="L49" s="13"/>
      <c r="M49" s="3"/>
      <c r="N49" s="16"/>
      <c r="O49" s="16"/>
      <c r="P49" s="13">
        <v>20</v>
      </c>
      <c r="Q49" s="10" t="s">
        <v>48</v>
      </c>
      <c r="R49" s="10"/>
      <c r="S49" s="10">
        <v>3</v>
      </c>
      <c r="T49" s="15" t="s">
        <v>265</v>
      </c>
      <c r="U49" s="10"/>
      <c r="V49" s="10"/>
    </row>
    <row r="50" ht="16.5" spans="1:22">
      <c r="A50" s="10">
        <v>44</v>
      </c>
      <c r="B50" s="11">
        <v>1440</v>
      </c>
      <c r="C50" s="11">
        <f t="shared" si="8"/>
        <v>32840</v>
      </c>
      <c r="D50" s="12">
        <v>0.0720333333333333</v>
      </c>
      <c r="E50" s="10"/>
      <c r="F50" s="13"/>
      <c r="G50" s="11">
        <v>94</v>
      </c>
      <c r="H50" s="11">
        <v>4380</v>
      </c>
      <c r="I50" s="11">
        <f t="shared" si="9"/>
        <v>178480</v>
      </c>
      <c r="J50" s="12">
        <v>0.139533333333333</v>
      </c>
      <c r="K50" s="10"/>
      <c r="L50" s="13"/>
      <c r="M50" s="3"/>
      <c r="N50" s="16"/>
      <c r="O50" s="16"/>
      <c r="P50" s="13">
        <v>30</v>
      </c>
      <c r="Q50" s="10" t="s">
        <v>64</v>
      </c>
      <c r="R50" s="10"/>
      <c r="S50" s="10">
        <v>4</v>
      </c>
      <c r="T50" s="15" t="s">
        <v>266</v>
      </c>
      <c r="U50" s="10"/>
      <c r="V50" s="10"/>
    </row>
    <row r="51" ht="16.5" spans="1:22">
      <c r="A51" s="10">
        <v>45</v>
      </c>
      <c r="B51" s="11">
        <v>1490</v>
      </c>
      <c r="C51" s="11">
        <f t="shared" si="8"/>
        <v>34330</v>
      </c>
      <c r="D51" s="12">
        <v>0.0727833333333333</v>
      </c>
      <c r="E51" s="10"/>
      <c r="F51" s="13"/>
      <c r="G51" s="11">
        <v>95</v>
      </c>
      <c r="H51" s="11">
        <v>4440</v>
      </c>
      <c r="I51" s="11">
        <f t="shared" si="9"/>
        <v>182920</v>
      </c>
      <c r="J51" s="12">
        <v>0.140283333333333</v>
      </c>
      <c r="K51" s="10"/>
      <c r="L51" s="13"/>
      <c r="M51" s="3"/>
      <c r="N51" s="16"/>
      <c r="O51" s="16"/>
      <c r="P51" s="13">
        <v>40</v>
      </c>
      <c r="Q51" s="10" t="s">
        <v>80</v>
      </c>
      <c r="R51" s="10"/>
      <c r="S51" s="10">
        <v>5</v>
      </c>
      <c r="T51" s="15" t="s">
        <v>267</v>
      </c>
      <c r="U51" s="10"/>
      <c r="V51" s="10"/>
    </row>
    <row r="52" ht="16.5" spans="1:22">
      <c r="A52" s="10">
        <v>46</v>
      </c>
      <c r="B52" s="11">
        <v>1540</v>
      </c>
      <c r="C52" s="11">
        <f t="shared" si="8"/>
        <v>35870</v>
      </c>
      <c r="D52" s="12">
        <v>0.0735333333333333</v>
      </c>
      <c r="E52" s="10"/>
      <c r="F52" s="13"/>
      <c r="G52" s="11">
        <v>96</v>
      </c>
      <c r="H52" s="11">
        <v>4500</v>
      </c>
      <c r="I52" s="11">
        <f t="shared" si="9"/>
        <v>187420</v>
      </c>
      <c r="J52" s="12">
        <v>0.141033333333333</v>
      </c>
      <c r="K52" s="10"/>
      <c r="L52" s="13"/>
      <c r="M52" s="3"/>
      <c r="N52" s="16"/>
      <c r="O52" s="16"/>
      <c r="P52" s="13">
        <v>50</v>
      </c>
      <c r="Q52" s="10" t="s">
        <v>16</v>
      </c>
      <c r="R52" s="10"/>
      <c r="S52" s="10">
        <v>6</v>
      </c>
      <c r="T52" s="15" t="s">
        <v>268</v>
      </c>
      <c r="U52" s="10"/>
      <c r="V52" s="10"/>
    </row>
    <row r="53" ht="16.5" spans="1:22">
      <c r="A53" s="10">
        <v>47</v>
      </c>
      <c r="B53" s="11">
        <v>1590</v>
      </c>
      <c r="C53" s="11">
        <f t="shared" si="8"/>
        <v>37460</v>
      </c>
      <c r="D53" s="12">
        <v>0.0742833333333333</v>
      </c>
      <c r="E53" s="10"/>
      <c r="F53" s="13"/>
      <c r="G53" s="11">
        <v>97</v>
      </c>
      <c r="H53" s="11">
        <v>4560</v>
      </c>
      <c r="I53" s="11">
        <f t="shared" si="9"/>
        <v>191980</v>
      </c>
      <c r="J53" s="12">
        <v>0.141783333333333</v>
      </c>
      <c r="K53" s="10"/>
      <c r="L53" s="13"/>
      <c r="M53" s="3"/>
      <c r="N53" s="16"/>
      <c r="O53" s="16"/>
      <c r="P53" s="13">
        <v>60</v>
      </c>
      <c r="Q53" s="10" t="s">
        <v>33</v>
      </c>
      <c r="R53" s="10"/>
      <c r="S53" s="10">
        <v>7</v>
      </c>
      <c r="T53" s="15" t="s">
        <v>269</v>
      </c>
      <c r="U53" s="10"/>
      <c r="V53" s="10"/>
    </row>
    <row r="54" ht="16.5" spans="1:22">
      <c r="A54" s="10">
        <v>48</v>
      </c>
      <c r="B54" s="11">
        <v>1640</v>
      </c>
      <c r="C54" s="11">
        <f t="shared" si="8"/>
        <v>39100</v>
      </c>
      <c r="D54" s="12">
        <v>0.0750333333333333</v>
      </c>
      <c r="E54" s="10"/>
      <c r="F54" s="13"/>
      <c r="G54" s="11">
        <v>98</v>
      </c>
      <c r="H54" s="11">
        <v>4620</v>
      </c>
      <c r="I54" s="11">
        <f t="shared" si="9"/>
        <v>196600</v>
      </c>
      <c r="J54" s="12">
        <v>0.142533333333333</v>
      </c>
      <c r="K54" s="10"/>
      <c r="L54" s="13"/>
      <c r="M54" s="3"/>
      <c r="N54" s="16"/>
      <c r="O54" s="16"/>
      <c r="P54" s="13">
        <v>70</v>
      </c>
      <c r="Q54" s="10" t="s">
        <v>49</v>
      </c>
      <c r="R54" s="10"/>
      <c r="S54" s="10">
        <v>8</v>
      </c>
      <c r="T54" s="15" t="s">
        <v>270</v>
      </c>
      <c r="U54" s="10"/>
      <c r="V54" s="10"/>
    </row>
    <row r="55" ht="16.5" spans="1:22">
      <c r="A55" s="10">
        <v>49</v>
      </c>
      <c r="B55" s="11">
        <v>1680</v>
      </c>
      <c r="C55" s="11">
        <f t="shared" si="8"/>
        <v>40780</v>
      </c>
      <c r="D55" s="12">
        <v>0.0757833333333333</v>
      </c>
      <c r="E55" s="10"/>
      <c r="F55" s="13"/>
      <c r="G55" s="11">
        <v>99</v>
      </c>
      <c r="H55" s="11">
        <v>4680</v>
      </c>
      <c r="I55" s="11">
        <f t="shared" si="9"/>
        <v>201280</v>
      </c>
      <c r="J55" s="12">
        <v>0.143283333333333</v>
      </c>
      <c r="K55" s="10"/>
      <c r="L55" s="13"/>
      <c r="M55" s="3"/>
      <c r="N55" s="16"/>
      <c r="O55" s="16"/>
      <c r="P55" s="13">
        <v>80</v>
      </c>
      <c r="Q55" s="10" t="s">
        <v>65</v>
      </c>
      <c r="R55" s="10"/>
      <c r="S55" s="10">
        <v>9</v>
      </c>
      <c r="T55" s="15" t="s">
        <v>271</v>
      </c>
      <c r="U55" s="10"/>
      <c r="V55" s="10"/>
    </row>
    <row r="56" ht="16.5" spans="1:22">
      <c r="A56" s="10">
        <v>50</v>
      </c>
      <c r="B56" s="11">
        <v>1740</v>
      </c>
      <c r="C56" s="11">
        <f t="shared" si="8"/>
        <v>42520</v>
      </c>
      <c r="D56" s="12">
        <v>0.0765</v>
      </c>
      <c r="E56" s="10"/>
      <c r="F56" s="13"/>
      <c r="G56" s="11">
        <v>100</v>
      </c>
      <c r="H56" s="11">
        <v>4740</v>
      </c>
      <c r="I56" s="11">
        <f t="shared" si="9"/>
        <v>206020</v>
      </c>
      <c r="J56" s="12">
        <v>0.144</v>
      </c>
      <c r="K56" s="10"/>
      <c r="L56" s="13"/>
      <c r="M56" s="3"/>
      <c r="N56" s="16"/>
      <c r="O56" s="16"/>
      <c r="P56" s="13">
        <v>90</v>
      </c>
      <c r="Q56" s="10" t="s">
        <v>81</v>
      </c>
      <c r="R56" s="10"/>
      <c r="S56" s="10">
        <v>10</v>
      </c>
      <c r="T56" s="15" t="s">
        <v>272</v>
      </c>
      <c r="U56" s="10"/>
      <c r="V56" s="10"/>
    </row>
    <row r="57" ht="16.5" spans="1:22">
      <c r="A57" s="10" t="s">
        <v>31</v>
      </c>
      <c r="B57" s="10"/>
      <c r="C57" s="10"/>
      <c r="D57" s="10">
        <v>0.0825</v>
      </c>
      <c r="E57" s="10">
        <v>25</v>
      </c>
      <c r="F57" s="13" t="s">
        <v>16</v>
      </c>
      <c r="G57" s="10" t="s">
        <v>31</v>
      </c>
      <c r="H57" s="10"/>
      <c r="I57" s="10"/>
      <c r="J57" s="12">
        <v>0.15</v>
      </c>
      <c r="K57" s="10">
        <v>50</v>
      </c>
      <c r="L57" s="13" t="s">
        <v>94</v>
      </c>
      <c r="M57" s="3"/>
      <c r="N57" s="16"/>
      <c r="O57" s="16"/>
      <c r="P57" s="13">
        <v>100</v>
      </c>
      <c r="Q57" s="10" t="s">
        <v>94</v>
      </c>
      <c r="R57" s="10"/>
      <c r="S57" s="10">
        <v>11</v>
      </c>
      <c r="T57" s="15" t="s">
        <v>273</v>
      </c>
      <c r="U57" s="10"/>
      <c r="V57" s="10"/>
    </row>
    <row r="58" spans="1:22">
      <c r="A58" s="44" t="s">
        <v>96</v>
      </c>
      <c r="B58" s="44"/>
      <c r="C58" s="45"/>
      <c r="D58" s="45"/>
      <c r="E58" s="44" t="s">
        <v>97</v>
      </c>
      <c r="F58" s="44">
        <f>I56</f>
        <v>206020</v>
      </c>
      <c r="G58" s="45"/>
      <c r="H58" s="45"/>
      <c r="I58" s="44" t="s">
        <v>6</v>
      </c>
      <c r="J58" s="44">
        <f>E13+E24+E35+E46+E57+K13+K24+K35+K46+K57</f>
        <v>275</v>
      </c>
      <c r="K58" s="45"/>
      <c r="L58" s="45"/>
      <c r="M58" s="3"/>
      <c r="N58" s="44" t="s">
        <v>96</v>
      </c>
      <c r="O58" s="44"/>
      <c r="P58" s="45"/>
      <c r="Q58" s="44" t="s">
        <v>10</v>
      </c>
      <c r="R58" s="44">
        <f>S5+S16+S27+S38</f>
        <v>21000</v>
      </c>
      <c r="S58" s="3"/>
      <c r="T58" s="44" t="s">
        <v>11</v>
      </c>
      <c r="U58" s="44">
        <f>S10+S21+S32+S43</f>
        <v>1836600</v>
      </c>
      <c r="V58" s="3"/>
    </row>
    <row r="59" spans="1:22">
      <c r="A59" s="44"/>
      <c r="B59" s="44"/>
      <c r="C59" s="45"/>
      <c r="D59" s="45"/>
      <c r="E59" s="44"/>
      <c r="F59" s="44"/>
      <c r="G59" s="45"/>
      <c r="H59" s="45"/>
      <c r="I59" s="44"/>
      <c r="J59" s="44"/>
      <c r="K59" s="45"/>
      <c r="L59" s="45"/>
      <c r="M59" s="3"/>
      <c r="N59" s="44"/>
      <c r="O59" s="44"/>
      <c r="P59" s="45"/>
      <c r="Q59" s="44"/>
      <c r="R59" s="44"/>
      <c r="S59" s="3"/>
      <c r="T59" s="44"/>
      <c r="U59" s="44"/>
      <c r="V59" s="3"/>
    </row>
  </sheetData>
  <mergeCells count="131">
    <mergeCell ref="A1:B1"/>
    <mergeCell ref="C1:L1"/>
    <mergeCell ref="N1:O1"/>
    <mergeCell ref="P1:V1"/>
    <mergeCell ref="T2:V2"/>
    <mergeCell ref="T3:V3"/>
    <mergeCell ref="T4:V4"/>
    <mergeCell ref="T5:V5"/>
    <mergeCell ref="T6:V6"/>
    <mergeCell ref="T7:V7"/>
    <mergeCell ref="T8:V8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N46:O46"/>
    <mergeCell ref="Q46:R46"/>
    <mergeCell ref="T46:V46"/>
    <mergeCell ref="Q47:R47"/>
    <mergeCell ref="T47:V47"/>
    <mergeCell ref="Q48:R48"/>
    <mergeCell ref="T48:V48"/>
    <mergeCell ref="Q49:R49"/>
    <mergeCell ref="T49:V49"/>
    <mergeCell ref="Q50:R50"/>
    <mergeCell ref="T50:V50"/>
    <mergeCell ref="Q51:R51"/>
    <mergeCell ref="T51:V51"/>
    <mergeCell ref="Q52:R52"/>
    <mergeCell ref="T52:V52"/>
    <mergeCell ref="Q53:R53"/>
    <mergeCell ref="T53:V53"/>
    <mergeCell ref="Q54:R54"/>
    <mergeCell ref="T54:V54"/>
    <mergeCell ref="Q55:R55"/>
    <mergeCell ref="T55:V55"/>
    <mergeCell ref="Q56:R56"/>
    <mergeCell ref="T56:V56"/>
    <mergeCell ref="Q57:R57"/>
    <mergeCell ref="T57:V57"/>
    <mergeCell ref="E3:E12"/>
    <mergeCell ref="E14:E23"/>
    <mergeCell ref="E25:E34"/>
    <mergeCell ref="E36:E45"/>
    <mergeCell ref="E47:E56"/>
    <mergeCell ref="E58:E59"/>
    <mergeCell ref="F3:F12"/>
    <mergeCell ref="F13:F23"/>
    <mergeCell ref="F24:F34"/>
    <mergeCell ref="F35:F45"/>
    <mergeCell ref="F46:F56"/>
    <mergeCell ref="F58:F59"/>
    <mergeCell ref="I58:I59"/>
    <mergeCell ref="J58:J59"/>
    <mergeCell ref="K3:K12"/>
    <mergeCell ref="K14:K23"/>
    <mergeCell ref="K25:K34"/>
    <mergeCell ref="K36:K45"/>
    <mergeCell ref="K47:K56"/>
    <mergeCell ref="L3:L12"/>
    <mergeCell ref="L13:L23"/>
    <mergeCell ref="L24:L34"/>
    <mergeCell ref="L35:L45"/>
    <mergeCell ref="L46:L56"/>
    <mergeCell ref="M2:M59"/>
    <mergeCell ref="N3:N12"/>
    <mergeCell ref="N14:N23"/>
    <mergeCell ref="N25:N34"/>
    <mergeCell ref="N36:N45"/>
    <mergeCell ref="P58:P59"/>
    <mergeCell ref="Q58:Q59"/>
    <mergeCell ref="R58:R59"/>
    <mergeCell ref="S3:S4"/>
    <mergeCell ref="S5:S7"/>
    <mergeCell ref="S8:S9"/>
    <mergeCell ref="S10:S12"/>
    <mergeCell ref="S14:S15"/>
    <mergeCell ref="S16:S18"/>
    <mergeCell ref="S19:S20"/>
    <mergeCell ref="S21:S23"/>
    <mergeCell ref="S25:S26"/>
    <mergeCell ref="S27:S29"/>
    <mergeCell ref="S30:S31"/>
    <mergeCell ref="S32:S34"/>
    <mergeCell ref="S36:S37"/>
    <mergeCell ref="S38:S40"/>
    <mergeCell ref="S41:S42"/>
    <mergeCell ref="S43:S45"/>
    <mergeCell ref="S58:S59"/>
    <mergeCell ref="T58:T59"/>
    <mergeCell ref="U58:U59"/>
    <mergeCell ref="V58:V59"/>
    <mergeCell ref="N47:O57"/>
    <mergeCell ref="A58:B59"/>
    <mergeCell ref="C58:D59"/>
    <mergeCell ref="G58:H59"/>
    <mergeCell ref="K58:L59"/>
    <mergeCell ref="N58:O59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9"/>
  <sheetViews>
    <sheetView zoomScale="55" zoomScaleNormal="55" topLeftCell="A29" workbookViewId="0">
      <selection activeCell="AI54" sqref="AI54"/>
    </sheetView>
  </sheetViews>
  <sheetFormatPr defaultColWidth="8.72727272727273" defaultRowHeight="14"/>
  <cols>
    <col min="1" max="1" width="6.09090909090909" customWidth="1"/>
    <col min="2" max="3" width="13" customWidth="1"/>
    <col min="4" max="4" width="8.81818181818182" customWidth="1"/>
    <col min="6" max="6" width="12" customWidth="1"/>
    <col min="7" max="7" width="6.09090909090909" customWidth="1"/>
    <col min="8" max="9" width="13" customWidth="1"/>
    <col min="10" max="10" width="8.72727272727273" customWidth="1"/>
    <col min="11" max="11" width="10.5454545454545" customWidth="1"/>
    <col min="12" max="12" width="12" customWidth="1"/>
    <col min="20" max="20" width="9.72727272727273" customWidth="1"/>
    <col min="21" max="21" width="12.0909090909091" customWidth="1"/>
    <col min="22" max="22" width="28.1818181818182" customWidth="1"/>
  </cols>
  <sheetData>
    <row r="1" ht="36.5" spans="1:22">
      <c r="A1" s="1" t="s">
        <v>0</v>
      </c>
      <c r="B1" s="1"/>
      <c r="C1" s="2" t="s">
        <v>274</v>
      </c>
      <c r="D1" s="2"/>
      <c r="E1" s="2"/>
      <c r="F1" s="2"/>
      <c r="G1" s="2"/>
      <c r="H1" s="2"/>
      <c r="I1" s="2"/>
      <c r="J1" s="2"/>
      <c r="K1" s="2"/>
      <c r="L1" s="2"/>
      <c r="M1" s="2"/>
      <c r="N1" s="1" t="s">
        <v>0</v>
      </c>
      <c r="O1" s="1"/>
      <c r="P1" s="2" t="s">
        <v>274</v>
      </c>
      <c r="Q1" s="2"/>
      <c r="R1" s="2"/>
      <c r="S1" s="2"/>
      <c r="T1" s="2"/>
      <c r="U1" s="2"/>
      <c r="V1" s="2"/>
    </row>
    <row r="2" ht="66" spans="1:22">
      <c r="A2" s="7" t="s">
        <v>2</v>
      </c>
      <c r="B2" s="7" t="s">
        <v>3</v>
      </c>
      <c r="C2" s="7" t="s">
        <v>4</v>
      </c>
      <c r="D2" s="8" t="s">
        <v>5</v>
      </c>
      <c r="E2" s="7" t="s">
        <v>6</v>
      </c>
      <c r="F2" s="7" t="s">
        <v>7</v>
      </c>
      <c r="G2" s="7" t="s">
        <v>2</v>
      </c>
      <c r="H2" s="7" t="s">
        <v>3</v>
      </c>
      <c r="I2" s="7" t="s">
        <v>4</v>
      </c>
      <c r="J2" s="8" t="s">
        <v>5</v>
      </c>
      <c r="K2" s="7" t="s">
        <v>6</v>
      </c>
      <c r="L2" s="7" t="s">
        <v>7</v>
      </c>
      <c r="M2" s="9"/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/>
      <c r="V2" s="7"/>
    </row>
    <row r="3" ht="16.5" spans="1:22">
      <c r="A3" s="10">
        <v>1</v>
      </c>
      <c r="B3" s="11">
        <v>1000</v>
      </c>
      <c r="C3" s="10"/>
      <c r="D3" s="12">
        <v>0.0158</v>
      </c>
      <c r="E3" s="10"/>
      <c r="F3" s="13" t="s">
        <v>15</v>
      </c>
      <c r="G3" s="10">
        <v>51</v>
      </c>
      <c r="H3" s="11">
        <v>4500</v>
      </c>
      <c r="I3" s="11">
        <f>H3+C56</f>
        <v>108820</v>
      </c>
      <c r="J3" s="12">
        <v>0.0833</v>
      </c>
      <c r="K3" s="10"/>
      <c r="L3" s="13" t="s">
        <v>16</v>
      </c>
      <c r="M3" s="3"/>
      <c r="N3" s="14" t="s">
        <v>275</v>
      </c>
      <c r="O3" s="13">
        <v>1</v>
      </c>
      <c r="P3" s="10"/>
      <c r="Q3" s="10"/>
      <c r="R3" s="10"/>
      <c r="S3" s="10" t="s">
        <v>10</v>
      </c>
      <c r="T3" s="15" t="s">
        <v>276</v>
      </c>
      <c r="U3" s="10"/>
      <c r="V3" s="10"/>
    </row>
    <row r="4" ht="16.5" spans="1:22">
      <c r="A4" s="10">
        <v>2</v>
      </c>
      <c r="B4" s="11">
        <v>600</v>
      </c>
      <c r="C4" s="11">
        <f>B3+B4</f>
        <v>1600</v>
      </c>
      <c r="D4" s="12">
        <v>0.0165</v>
      </c>
      <c r="E4" s="10"/>
      <c r="F4" s="13"/>
      <c r="G4" s="11">
        <v>52</v>
      </c>
      <c r="H4" s="11">
        <v>4650</v>
      </c>
      <c r="I4" s="11">
        <f t="shared" ref="I4:I12" si="0">H4+I3</f>
        <v>113470</v>
      </c>
      <c r="J4" s="12">
        <v>0.084</v>
      </c>
      <c r="K4" s="10"/>
      <c r="L4" s="13"/>
      <c r="M4" s="3"/>
      <c r="N4" s="16"/>
      <c r="O4" s="13">
        <v>2</v>
      </c>
      <c r="P4" s="11">
        <v>600</v>
      </c>
      <c r="Q4" s="11">
        <v>82800</v>
      </c>
      <c r="R4" s="10"/>
      <c r="S4" s="10"/>
      <c r="T4" s="15" t="s">
        <v>277</v>
      </c>
      <c r="U4" s="10"/>
      <c r="V4" s="10"/>
    </row>
    <row r="5" ht="16.5" spans="1:22">
      <c r="A5" s="10">
        <v>3</v>
      </c>
      <c r="B5" s="11">
        <v>630</v>
      </c>
      <c r="C5" s="11">
        <f t="shared" ref="C5:C12" si="1">B5+C4</f>
        <v>2230</v>
      </c>
      <c r="D5" s="12">
        <v>0.0173</v>
      </c>
      <c r="E5" s="10"/>
      <c r="F5" s="13"/>
      <c r="G5" s="11">
        <v>53</v>
      </c>
      <c r="H5" s="11">
        <v>4800</v>
      </c>
      <c r="I5" s="11">
        <f t="shared" si="0"/>
        <v>118270</v>
      </c>
      <c r="J5" s="12">
        <v>0.0848</v>
      </c>
      <c r="K5" s="10"/>
      <c r="L5" s="13"/>
      <c r="M5" s="3"/>
      <c r="N5" s="16"/>
      <c r="O5" s="13">
        <v>3</v>
      </c>
      <c r="P5" s="11">
        <v>1200</v>
      </c>
      <c r="Q5" s="11">
        <v>165600</v>
      </c>
      <c r="R5" s="10"/>
      <c r="S5" s="17">
        <f>SUM(P4:P12)</f>
        <v>27000</v>
      </c>
      <c r="T5" s="15" t="s">
        <v>278</v>
      </c>
      <c r="U5" s="10"/>
      <c r="V5" s="10"/>
    </row>
    <row r="6" ht="16.5" spans="1:22">
      <c r="A6" s="10">
        <v>4</v>
      </c>
      <c r="B6" s="11">
        <v>660</v>
      </c>
      <c r="C6" s="11">
        <f t="shared" si="1"/>
        <v>2890</v>
      </c>
      <c r="D6" s="12">
        <v>0.018</v>
      </c>
      <c r="E6" s="10"/>
      <c r="F6" s="13"/>
      <c r="G6" s="11">
        <v>54</v>
      </c>
      <c r="H6" s="11">
        <v>4950</v>
      </c>
      <c r="I6" s="11">
        <f t="shared" si="0"/>
        <v>123220</v>
      </c>
      <c r="J6" s="12">
        <v>0.0855333333333333</v>
      </c>
      <c r="K6" s="10"/>
      <c r="L6" s="13"/>
      <c r="M6" s="3"/>
      <c r="N6" s="16"/>
      <c r="O6" s="13">
        <v>4</v>
      </c>
      <c r="P6" s="11">
        <v>1800</v>
      </c>
      <c r="Q6" s="11">
        <v>248400</v>
      </c>
      <c r="R6" s="10"/>
      <c r="S6" s="18"/>
      <c r="T6" s="15" t="s">
        <v>279</v>
      </c>
      <c r="U6" s="10"/>
      <c r="V6" s="10"/>
    </row>
    <row r="7" ht="16.5" spans="1:22">
      <c r="A7" s="10">
        <v>5</v>
      </c>
      <c r="B7" s="11">
        <v>690</v>
      </c>
      <c r="C7" s="11">
        <f t="shared" si="1"/>
        <v>3580</v>
      </c>
      <c r="D7" s="12">
        <v>0.0188</v>
      </c>
      <c r="E7" s="10"/>
      <c r="F7" s="13"/>
      <c r="G7" s="11">
        <v>55</v>
      </c>
      <c r="H7" s="11">
        <v>5100</v>
      </c>
      <c r="I7" s="11">
        <f t="shared" si="0"/>
        <v>128320</v>
      </c>
      <c r="J7" s="12">
        <v>0.0862833333333333</v>
      </c>
      <c r="K7" s="10"/>
      <c r="L7" s="13"/>
      <c r="M7" s="3"/>
      <c r="N7" s="16"/>
      <c r="O7" s="13">
        <v>5</v>
      </c>
      <c r="P7" s="11">
        <v>2400</v>
      </c>
      <c r="Q7" s="11">
        <v>331800</v>
      </c>
      <c r="R7" s="10"/>
      <c r="S7" s="19"/>
      <c r="T7" s="15" t="s">
        <v>280</v>
      </c>
      <c r="U7" s="10"/>
      <c r="V7" s="10"/>
    </row>
    <row r="8" ht="16.5" spans="1:22">
      <c r="A8" s="10">
        <v>6</v>
      </c>
      <c r="B8" s="11">
        <v>720</v>
      </c>
      <c r="C8" s="11">
        <f t="shared" si="1"/>
        <v>4300</v>
      </c>
      <c r="D8" s="12">
        <v>0.0195</v>
      </c>
      <c r="E8" s="10"/>
      <c r="F8" s="13"/>
      <c r="G8" s="11">
        <v>56</v>
      </c>
      <c r="H8" s="11">
        <v>5250</v>
      </c>
      <c r="I8" s="11">
        <f t="shared" si="0"/>
        <v>133570</v>
      </c>
      <c r="J8" s="12">
        <v>0.0870333333333333</v>
      </c>
      <c r="K8" s="10"/>
      <c r="L8" s="13"/>
      <c r="M8" s="3"/>
      <c r="N8" s="16"/>
      <c r="O8" s="13">
        <v>6</v>
      </c>
      <c r="P8" s="11">
        <v>3000</v>
      </c>
      <c r="Q8" s="11">
        <v>414600</v>
      </c>
      <c r="R8" s="10"/>
      <c r="S8" s="10" t="s">
        <v>11</v>
      </c>
      <c r="T8" s="15" t="s">
        <v>281</v>
      </c>
      <c r="U8" s="10"/>
      <c r="V8" s="10"/>
    </row>
    <row r="9" ht="16.5" spans="1:22">
      <c r="A9" s="10">
        <v>7</v>
      </c>
      <c r="B9" s="11">
        <v>780</v>
      </c>
      <c r="C9" s="11">
        <f t="shared" si="1"/>
        <v>5080</v>
      </c>
      <c r="D9" s="12">
        <v>0.0203</v>
      </c>
      <c r="E9" s="10"/>
      <c r="F9" s="13"/>
      <c r="G9" s="11">
        <v>57</v>
      </c>
      <c r="H9" s="11">
        <v>5400</v>
      </c>
      <c r="I9" s="11">
        <f t="shared" si="0"/>
        <v>138970</v>
      </c>
      <c r="J9" s="12">
        <v>0.0877833333333333</v>
      </c>
      <c r="K9" s="10"/>
      <c r="L9" s="13"/>
      <c r="M9" s="3"/>
      <c r="N9" s="16"/>
      <c r="O9" s="13">
        <v>7</v>
      </c>
      <c r="P9" s="11">
        <v>3600</v>
      </c>
      <c r="Q9" s="11">
        <v>497400</v>
      </c>
      <c r="R9" s="10"/>
      <c r="S9" s="10"/>
      <c r="T9" s="15" t="s">
        <v>282</v>
      </c>
      <c r="U9" s="10"/>
      <c r="V9" s="10"/>
    </row>
    <row r="10" ht="16.5" spans="1:22">
      <c r="A10" s="10">
        <v>8</v>
      </c>
      <c r="B10" s="11">
        <v>840</v>
      </c>
      <c r="C10" s="11">
        <f t="shared" si="1"/>
        <v>5920</v>
      </c>
      <c r="D10" s="12">
        <v>0.021</v>
      </c>
      <c r="E10" s="10"/>
      <c r="F10" s="13"/>
      <c r="G10" s="11">
        <v>58</v>
      </c>
      <c r="H10" s="11">
        <v>5550</v>
      </c>
      <c r="I10" s="11">
        <f t="shared" si="0"/>
        <v>144520</v>
      </c>
      <c r="J10" s="12">
        <v>0.0885333333333333</v>
      </c>
      <c r="K10" s="10"/>
      <c r="L10" s="13"/>
      <c r="M10" s="3"/>
      <c r="N10" s="16"/>
      <c r="O10" s="13">
        <v>8</v>
      </c>
      <c r="P10" s="11">
        <v>4200</v>
      </c>
      <c r="Q10" s="11">
        <v>580200</v>
      </c>
      <c r="R10" s="10"/>
      <c r="S10" s="17">
        <f>SUM(Q4:Q12)</f>
        <v>3730800</v>
      </c>
      <c r="T10" s="15" t="s">
        <v>283</v>
      </c>
      <c r="U10" s="10"/>
      <c r="V10" s="10"/>
    </row>
    <row r="11" ht="16.5" spans="1:22">
      <c r="A11" s="10">
        <v>9</v>
      </c>
      <c r="B11" s="11">
        <v>900</v>
      </c>
      <c r="C11" s="11">
        <f t="shared" si="1"/>
        <v>6820</v>
      </c>
      <c r="D11" s="12">
        <v>0.0218</v>
      </c>
      <c r="E11" s="10"/>
      <c r="F11" s="13"/>
      <c r="G11" s="11">
        <v>59</v>
      </c>
      <c r="H11" s="11">
        <v>5700</v>
      </c>
      <c r="I11" s="11">
        <f t="shared" si="0"/>
        <v>150220</v>
      </c>
      <c r="J11" s="12">
        <v>0.0892833333333333</v>
      </c>
      <c r="K11" s="10"/>
      <c r="L11" s="13"/>
      <c r="M11" s="3"/>
      <c r="N11" s="16"/>
      <c r="O11" s="13">
        <v>9</v>
      </c>
      <c r="P11" s="11">
        <v>4800</v>
      </c>
      <c r="Q11" s="11">
        <v>663600</v>
      </c>
      <c r="R11" s="10"/>
      <c r="S11" s="18"/>
      <c r="T11" s="15" t="s">
        <v>284</v>
      </c>
      <c r="U11" s="10"/>
      <c r="V11" s="10"/>
    </row>
    <row r="12" ht="16.5" spans="1:22">
      <c r="A12" s="10">
        <v>10</v>
      </c>
      <c r="B12" s="11">
        <v>960</v>
      </c>
      <c r="C12" s="11">
        <f t="shared" si="1"/>
        <v>7780</v>
      </c>
      <c r="D12" s="12">
        <v>0.0225</v>
      </c>
      <c r="E12" s="10"/>
      <c r="F12" s="13"/>
      <c r="G12" s="11">
        <v>60</v>
      </c>
      <c r="H12" s="11">
        <v>5850</v>
      </c>
      <c r="I12" s="11">
        <f t="shared" si="0"/>
        <v>156070</v>
      </c>
      <c r="J12" s="12">
        <v>0.09</v>
      </c>
      <c r="K12" s="10"/>
      <c r="L12" s="13"/>
      <c r="M12" s="3"/>
      <c r="N12" s="16"/>
      <c r="O12" s="13">
        <v>10</v>
      </c>
      <c r="P12" s="11">
        <v>5400</v>
      </c>
      <c r="Q12" s="11">
        <v>746400</v>
      </c>
      <c r="R12" s="10"/>
      <c r="S12" s="19"/>
      <c r="T12" s="15" t="s">
        <v>285</v>
      </c>
      <c r="U12" s="10"/>
      <c r="V12" s="10"/>
    </row>
    <row r="13" ht="16.5" spans="1:22">
      <c r="A13" s="10" t="s">
        <v>31</v>
      </c>
      <c r="B13" s="11"/>
      <c r="C13" s="11"/>
      <c r="D13" s="12">
        <v>0.0285</v>
      </c>
      <c r="E13" s="10">
        <v>8</v>
      </c>
      <c r="F13" s="13" t="s">
        <v>32</v>
      </c>
      <c r="G13" s="11" t="s">
        <v>31</v>
      </c>
      <c r="H13" s="11"/>
      <c r="I13" s="11"/>
      <c r="J13" s="12">
        <v>0.096</v>
      </c>
      <c r="K13" s="10">
        <v>48</v>
      </c>
      <c r="L13" s="13" t="s">
        <v>33</v>
      </c>
      <c r="M13" s="3"/>
      <c r="N13" s="7" t="s">
        <v>8</v>
      </c>
      <c r="O13" s="20" t="s">
        <v>2</v>
      </c>
      <c r="P13" s="20" t="s">
        <v>10</v>
      </c>
      <c r="Q13" s="20" t="s">
        <v>11</v>
      </c>
      <c r="R13" s="20" t="s">
        <v>12</v>
      </c>
      <c r="S13" s="20" t="s">
        <v>13</v>
      </c>
      <c r="T13" s="20" t="s">
        <v>14</v>
      </c>
      <c r="U13" s="20"/>
      <c r="V13" s="20"/>
    </row>
    <row r="14" ht="16.5" spans="1:22">
      <c r="A14" s="10">
        <v>11</v>
      </c>
      <c r="B14" s="11">
        <v>1020</v>
      </c>
      <c r="C14" s="11">
        <f>B14+C12</f>
        <v>8800</v>
      </c>
      <c r="D14" s="12">
        <v>0.0293</v>
      </c>
      <c r="E14" s="10"/>
      <c r="F14" s="13"/>
      <c r="G14" s="11">
        <v>61</v>
      </c>
      <c r="H14" s="11">
        <v>6000</v>
      </c>
      <c r="I14" s="11">
        <f>H14+I12</f>
        <v>162070</v>
      </c>
      <c r="J14" s="12">
        <v>0.0968</v>
      </c>
      <c r="K14" s="10"/>
      <c r="L14" s="13"/>
      <c r="M14" s="3"/>
      <c r="N14" s="14" t="s">
        <v>286</v>
      </c>
      <c r="O14" s="13">
        <v>1</v>
      </c>
      <c r="P14" s="10"/>
      <c r="Q14" s="10"/>
      <c r="R14" s="10"/>
      <c r="S14" s="10" t="s">
        <v>10</v>
      </c>
      <c r="T14" s="15" t="s">
        <v>287</v>
      </c>
      <c r="U14" s="10"/>
      <c r="V14" s="10"/>
    </row>
    <row r="15" ht="16.5" spans="1:22">
      <c r="A15" s="10">
        <v>12</v>
      </c>
      <c r="B15" s="11">
        <v>1080</v>
      </c>
      <c r="C15" s="11">
        <f t="shared" ref="C15:C23" si="2">B15+C14</f>
        <v>9880</v>
      </c>
      <c r="D15" s="12">
        <v>0.03</v>
      </c>
      <c r="E15" s="10"/>
      <c r="F15" s="13"/>
      <c r="G15" s="11">
        <v>62</v>
      </c>
      <c r="H15" s="11">
        <v>6150</v>
      </c>
      <c r="I15" s="11">
        <f t="shared" ref="I15:I23" si="3">H15+I14</f>
        <v>168220</v>
      </c>
      <c r="J15" s="12">
        <v>0.0975</v>
      </c>
      <c r="K15" s="10"/>
      <c r="L15" s="13"/>
      <c r="M15" s="3"/>
      <c r="N15" s="16"/>
      <c r="O15" s="13">
        <v>2</v>
      </c>
      <c r="P15" s="11">
        <v>300</v>
      </c>
      <c r="Q15" s="11">
        <v>30600</v>
      </c>
      <c r="R15" s="10"/>
      <c r="S15" s="10"/>
      <c r="T15" s="15" t="s">
        <v>288</v>
      </c>
      <c r="U15" s="10"/>
      <c r="V15" s="10"/>
    </row>
    <row r="16" ht="16.5" spans="1:22">
      <c r="A16" s="10">
        <v>13</v>
      </c>
      <c r="B16" s="11">
        <v>1140</v>
      </c>
      <c r="C16" s="11">
        <f t="shared" si="2"/>
        <v>11020</v>
      </c>
      <c r="D16" s="12">
        <v>0.0308</v>
      </c>
      <c r="E16" s="10"/>
      <c r="F16" s="13"/>
      <c r="G16" s="11">
        <v>63</v>
      </c>
      <c r="H16" s="11">
        <v>6300</v>
      </c>
      <c r="I16" s="11">
        <f t="shared" si="3"/>
        <v>174520</v>
      </c>
      <c r="J16" s="12">
        <v>0.0983</v>
      </c>
      <c r="K16" s="10"/>
      <c r="L16" s="13"/>
      <c r="M16" s="3"/>
      <c r="N16" s="16"/>
      <c r="O16" s="13">
        <v>3</v>
      </c>
      <c r="P16" s="11">
        <v>600</v>
      </c>
      <c r="Q16" s="11">
        <v>61800</v>
      </c>
      <c r="R16" s="10"/>
      <c r="S16" s="17">
        <f>SUM(P15:P23)</f>
        <v>13500</v>
      </c>
      <c r="T16" s="15" t="s">
        <v>289</v>
      </c>
      <c r="U16" s="10"/>
      <c r="V16" s="10"/>
    </row>
    <row r="17" ht="16.5" spans="1:22">
      <c r="A17" s="10">
        <v>14</v>
      </c>
      <c r="B17" s="11">
        <v>1200</v>
      </c>
      <c r="C17" s="11">
        <f t="shared" si="2"/>
        <v>12220</v>
      </c>
      <c r="D17" s="12">
        <v>0.0315333333333333</v>
      </c>
      <c r="E17" s="10"/>
      <c r="F17" s="13"/>
      <c r="G17" s="11">
        <v>64</v>
      </c>
      <c r="H17" s="11">
        <v>6450</v>
      </c>
      <c r="I17" s="11">
        <f t="shared" si="3"/>
        <v>180970</v>
      </c>
      <c r="J17" s="12">
        <v>0.0990333333333333</v>
      </c>
      <c r="K17" s="10"/>
      <c r="L17" s="13"/>
      <c r="M17" s="3"/>
      <c r="N17" s="16"/>
      <c r="O17" s="13">
        <v>4</v>
      </c>
      <c r="P17" s="11">
        <v>900</v>
      </c>
      <c r="Q17" s="11">
        <v>93000</v>
      </c>
      <c r="R17" s="10"/>
      <c r="S17" s="18"/>
      <c r="T17" s="15" t="s">
        <v>290</v>
      </c>
      <c r="U17" s="10"/>
      <c r="V17" s="10"/>
    </row>
    <row r="18" ht="16.5" spans="1:22">
      <c r="A18" s="10">
        <v>15</v>
      </c>
      <c r="B18" s="11">
        <v>1260</v>
      </c>
      <c r="C18" s="11">
        <f t="shared" si="2"/>
        <v>13480</v>
      </c>
      <c r="D18" s="12">
        <v>0.0322833333333333</v>
      </c>
      <c r="E18" s="10"/>
      <c r="F18" s="13"/>
      <c r="G18" s="11">
        <v>65</v>
      </c>
      <c r="H18" s="11">
        <v>6600</v>
      </c>
      <c r="I18" s="11">
        <f t="shared" si="3"/>
        <v>187570</v>
      </c>
      <c r="J18" s="12">
        <v>0.0997833333333333</v>
      </c>
      <c r="K18" s="10"/>
      <c r="L18" s="13"/>
      <c r="M18" s="3"/>
      <c r="N18" s="16"/>
      <c r="O18" s="13">
        <v>5</v>
      </c>
      <c r="P18" s="11">
        <v>1200</v>
      </c>
      <c r="Q18" s="11">
        <v>124200</v>
      </c>
      <c r="R18" s="10"/>
      <c r="S18" s="19"/>
      <c r="T18" s="15" t="s">
        <v>291</v>
      </c>
      <c r="U18" s="10"/>
      <c r="V18" s="10"/>
    </row>
    <row r="19" ht="16.5" spans="1:22">
      <c r="A19" s="10">
        <v>16</v>
      </c>
      <c r="B19" s="11">
        <v>1320</v>
      </c>
      <c r="C19" s="11">
        <f t="shared" si="2"/>
        <v>14800</v>
      </c>
      <c r="D19" s="12">
        <v>0.0330333333333333</v>
      </c>
      <c r="E19" s="10"/>
      <c r="F19" s="13"/>
      <c r="G19" s="11">
        <v>66</v>
      </c>
      <c r="H19" s="11">
        <v>6750</v>
      </c>
      <c r="I19" s="11">
        <f t="shared" si="3"/>
        <v>194320</v>
      </c>
      <c r="J19" s="12">
        <v>0.100533333333333</v>
      </c>
      <c r="K19" s="10"/>
      <c r="L19" s="13"/>
      <c r="M19" s="3"/>
      <c r="N19" s="16"/>
      <c r="O19" s="13">
        <v>6</v>
      </c>
      <c r="P19" s="11">
        <v>1500</v>
      </c>
      <c r="Q19" s="11">
        <v>155400</v>
      </c>
      <c r="R19" s="10"/>
      <c r="S19" s="10" t="s">
        <v>11</v>
      </c>
      <c r="T19" s="15" t="s">
        <v>292</v>
      </c>
      <c r="U19" s="10"/>
      <c r="V19" s="10"/>
    </row>
    <row r="20" ht="16.5" spans="1:22">
      <c r="A20" s="10">
        <v>17</v>
      </c>
      <c r="B20" s="11">
        <v>1380</v>
      </c>
      <c r="C20" s="11">
        <f t="shared" si="2"/>
        <v>16180</v>
      </c>
      <c r="D20" s="12">
        <v>0.0337833333333333</v>
      </c>
      <c r="E20" s="10"/>
      <c r="F20" s="13"/>
      <c r="G20" s="11">
        <v>67</v>
      </c>
      <c r="H20" s="11">
        <v>6900</v>
      </c>
      <c r="I20" s="11">
        <f t="shared" si="3"/>
        <v>201220</v>
      </c>
      <c r="J20" s="12">
        <v>0.101283333333333</v>
      </c>
      <c r="K20" s="10"/>
      <c r="L20" s="13"/>
      <c r="M20" s="3"/>
      <c r="N20" s="16"/>
      <c r="O20" s="13">
        <v>7</v>
      </c>
      <c r="P20" s="11">
        <v>1800</v>
      </c>
      <c r="Q20" s="11">
        <v>186600</v>
      </c>
      <c r="R20" s="10"/>
      <c r="S20" s="10"/>
      <c r="T20" s="15" t="s">
        <v>293</v>
      </c>
      <c r="U20" s="10"/>
      <c r="V20" s="10"/>
    </row>
    <row r="21" ht="16.5" spans="1:22">
      <c r="A21" s="10">
        <v>18</v>
      </c>
      <c r="B21" s="11">
        <v>1440</v>
      </c>
      <c r="C21" s="11">
        <f t="shared" si="2"/>
        <v>17620</v>
      </c>
      <c r="D21" s="12">
        <v>0.0345333333333333</v>
      </c>
      <c r="E21" s="10"/>
      <c r="F21" s="13"/>
      <c r="G21" s="11">
        <v>68</v>
      </c>
      <c r="H21" s="11">
        <v>7050</v>
      </c>
      <c r="I21" s="11">
        <f t="shared" si="3"/>
        <v>208270</v>
      </c>
      <c r="J21" s="12">
        <v>0.102033333333333</v>
      </c>
      <c r="K21" s="10"/>
      <c r="L21" s="13"/>
      <c r="M21" s="3"/>
      <c r="N21" s="16"/>
      <c r="O21" s="13">
        <v>8</v>
      </c>
      <c r="P21" s="11">
        <v>2100</v>
      </c>
      <c r="Q21" s="11">
        <v>217200</v>
      </c>
      <c r="R21" s="10"/>
      <c r="S21" s="17">
        <f>SUM(Q15:Q23)</f>
        <v>1396800</v>
      </c>
      <c r="T21" s="15" t="s">
        <v>294</v>
      </c>
      <c r="U21" s="10"/>
      <c r="V21" s="10"/>
    </row>
    <row r="22" ht="16.5" spans="1:22">
      <c r="A22" s="10">
        <v>19</v>
      </c>
      <c r="B22" s="11">
        <v>1500</v>
      </c>
      <c r="C22" s="11">
        <f t="shared" si="2"/>
        <v>19120</v>
      </c>
      <c r="D22" s="12">
        <v>0.0352833333333333</v>
      </c>
      <c r="E22" s="10"/>
      <c r="F22" s="13"/>
      <c r="G22" s="11">
        <v>69</v>
      </c>
      <c r="H22" s="11">
        <v>7200</v>
      </c>
      <c r="I22" s="11">
        <f t="shared" si="3"/>
        <v>215470</v>
      </c>
      <c r="J22" s="12">
        <v>0.102783333333333</v>
      </c>
      <c r="K22" s="10"/>
      <c r="L22" s="13"/>
      <c r="M22" s="3"/>
      <c r="N22" s="16"/>
      <c r="O22" s="13">
        <v>9</v>
      </c>
      <c r="P22" s="11">
        <v>2400</v>
      </c>
      <c r="Q22" s="11">
        <v>248400</v>
      </c>
      <c r="R22" s="10"/>
      <c r="S22" s="18"/>
      <c r="T22" s="15" t="s">
        <v>295</v>
      </c>
      <c r="U22" s="10"/>
      <c r="V22" s="10"/>
    </row>
    <row r="23" ht="16.5" spans="1:22">
      <c r="A23" s="10">
        <v>20</v>
      </c>
      <c r="B23" s="11">
        <v>1560</v>
      </c>
      <c r="C23" s="11">
        <f t="shared" si="2"/>
        <v>20680</v>
      </c>
      <c r="D23" s="12">
        <v>0.036</v>
      </c>
      <c r="E23" s="10"/>
      <c r="F23" s="13"/>
      <c r="G23" s="11">
        <v>70</v>
      </c>
      <c r="H23" s="11">
        <v>7350</v>
      </c>
      <c r="I23" s="11">
        <f t="shared" si="3"/>
        <v>222820</v>
      </c>
      <c r="J23" s="12">
        <v>0.1035</v>
      </c>
      <c r="K23" s="10"/>
      <c r="L23" s="13"/>
      <c r="M23" s="3"/>
      <c r="N23" s="16"/>
      <c r="O23" s="13">
        <v>10</v>
      </c>
      <c r="P23" s="11">
        <v>2700</v>
      </c>
      <c r="Q23" s="11">
        <v>279600</v>
      </c>
      <c r="R23" s="15" t="s">
        <v>46</v>
      </c>
      <c r="S23" s="19"/>
      <c r="T23" s="15" t="s">
        <v>296</v>
      </c>
      <c r="U23" s="10"/>
      <c r="V23" s="10"/>
    </row>
    <row r="24" ht="16.5" spans="1:22">
      <c r="A24" s="10" t="s">
        <v>31</v>
      </c>
      <c r="B24" s="11"/>
      <c r="C24" s="11"/>
      <c r="D24" s="12">
        <v>0.042</v>
      </c>
      <c r="E24" s="10">
        <v>16</v>
      </c>
      <c r="F24" s="13" t="s">
        <v>48</v>
      </c>
      <c r="G24" s="11" t="s">
        <v>31</v>
      </c>
      <c r="H24" s="11"/>
      <c r="I24" s="11"/>
      <c r="J24" s="12">
        <v>0.1095</v>
      </c>
      <c r="K24" s="10">
        <v>56</v>
      </c>
      <c r="L24" s="13" t="s">
        <v>49</v>
      </c>
      <c r="M24" s="3"/>
      <c r="N24" s="7" t="s">
        <v>8</v>
      </c>
      <c r="O24" s="20" t="s">
        <v>9</v>
      </c>
      <c r="P24" s="20" t="s">
        <v>10</v>
      </c>
      <c r="Q24" s="20" t="s">
        <v>11</v>
      </c>
      <c r="R24" s="20" t="s">
        <v>12</v>
      </c>
      <c r="S24" s="20" t="s">
        <v>13</v>
      </c>
      <c r="T24" s="20" t="s">
        <v>14</v>
      </c>
      <c r="U24" s="20"/>
      <c r="V24" s="20"/>
    </row>
    <row r="25" ht="16.5" spans="1:22">
      <c r="A25" s="10">
        <v>21</v>
      </c>
      <c r="B25" s="11">
        <v>1620</v>
      </c>
      <c r="C25" s="11">
        <f>B25+C23</f>
        <v>22300</v>
      </c>
      <c r="D25" s="12">
        <v>0.0428</v>
      </c>
      <c r="E25" s="10"/>
      <c r="F25" s="13"/>
      <c r="G25" s="11">
        <v>71</v>
      </c>
      <c r="H25" s="11">
        <v>7500</v>
      </c>
      <c r="I25" s="11">
        <f>H25+I23</f>
        <v>230320</v>
      </c>
      <c r="J25" s="12">
        <v>0.1103</v>
      </c>
      <c r="K25" s="10"/>
      <c r="L25" s="13"/>
      <c r="M25" s="3"/>
      <c r="N25" s="14" t="s">
        <v>297</v>
      </c>
      <c r="O25" s="13">
        <v>1</v>
      </c>
      <c r="P25" s="10"/>
      <c r="Q25" s="10"/>
      <c r="R25" s="10"/>
      <c r="S25" s="10" t="s">
        <v>10</v>
      </c>
      <c r="T25" s="15" t="s">
        <v>298</v>
      </c>
      <c r="U25" s="10"/>
      <c r="V25" s="10"/>
    </row>
    <row r="26" ht="16.5" spans="1:22">
      <c r="A26" s="10">
        <v>22</v>
      </c>
      <c r="B26" s="11">
        <v>1680</v>
      </c>
      <c r="C26" s="11">
        <f t="shared" ref="C26:C34" si="4">B26+C25</f>
        <v>23980</v>
      </c>
      <c r="D26" s="12">
        <v>0.0435</v>
      </c>
      <c r="E26" s="10"/>
      <c r="F26" s="13"/>
      <c r="G26" s="11">
        <v>72</v>
      </c>
      <c r="H26" s="11">
        <v>7650</v>
      </c>
      <c r="I26" s="11">
        <f t="shared" ref="I26:I34" si="5">H26+I25</f>
        <v>237970</v>
      </c>
      <c r="J26" s="12">
        <v>0.111</v>
      </c>
      <c r="K26" s="10"/>
      <c r="L26" s="13"/>
      <c r="M26" s="3"/>
      <c r="N26" s="16"/>
      <c r="O26" s="13">
        <v>2</v>
      </c>
      <c r="P26" s="11">
        <v>300</v>
      </c>
      <c r="Q26" s="11">
        <v>30600</v>
      </c>
      <c r="R26" s="10"/>
      <c r="S26" s="10"/>
      <c r="T26" s="10"/>
      <c r="U26" s="10"/>
      <c r="V26" s="10"/>
    </row>
    <row r="27" ht="16.5" spans="1:22">
      <c r="A27" s="10">
        <v>23</v>
      </c>
      <c r="B27" s="11">
        <v>1740</v>
      </c>
      <c r="C27" s="11">
        <f t="shared" si="4"/>
        <v>25720</v>
      </c>
      <c r="D27" s="12">
        <v>0.0443</v>
      </c>
      <c r="E27" s="10"/>
      <c r="F27" s="13"/>
      <c r="G27" s="11">
        <v>73</v>
      </c>
      <c r="H27" s="11">
        <v>7800</v>
      </c>
      <c r="I27" s="11">
        <f t="shared" si="5"/>
        <v>245770</v>
      </c>
      <c r="J27" s="12">
        <v>0.1118</v>
      </c>
      <c r="K27" s="10"/>
      <c r="L27" s="13"/>
      <c r="M27" s="3"/>
      <c r="N27" s="16"/>
      <c r="O27" s="13">
        <v>3</v>
      </c>
      <c r="P27" s="11">
        <v>600</v>
      </c>
      <c r="Q27" s="11">
        <v>61800</v>
      </c>
      <c r="R27" s="10"/>
      <c r="S27" s="17">
        <f>SUM(P26:P34)</f>
        <v>13500</v>
      </c>
      <c r="T27" s="10"/>
      <c r="U27" s="10"/>
      <c r="V27" s="10"/>
    </row>
    <row r="28" ht="16.5" spans="1:22">
      <c r="A28" s="10">
        <v>24</v>
      </c>
      <c r="B28" s="11">
        <v>1800</v>
      </c>
      <c r="C28" s="11">
        <f t="shared" si="4"/>
        <v>27520</v>
      </c>
      <c r="D28" s="12">
        <v>0.0450333333333333</v>
      </c>
      <c r="E28" s="10"/>
      <c r="F28" s="13"/>
      <c r="G28" s="11">
        <v>74</v>
      </c>
      <c r="H28" s="11">
        <v>7950</v>
      </c>
      <c r="I28" s="11">
        <f t="shared" si="5"/>
        <v>253720</v>
      </c>
      <c r="J28" s="12">
        <v>0.112533333333333</v>
      </c>
      <c r="K28" s="10"/>
      <c r="L28" s="13"/>
      <c r="M28" s="3"/>
      <c r="N28" s="16"/>
      <c r="O28" s="13">
        <v>4</v>
      </c>
      <c r="P28" s="11">
        <v>900</v>
      </c>
      <c r="Q28" s="11">
        <v>93000</v>
      </c>
      <c r="R28" s="10"/>
      <c r="S28" s="18"/>
      <c r="T28" s="10"/>
      <c r="U28" s="10"/>
      <c r="V28" s="10"/>
    </row>
    <row r="29" ht="16.5" spans="1:22">
      <c r="A29" s="10">
        <v>25</v>
      </c>
      <c r="B29" s="11">
        <v>1860</v>
      </c>
      <c r="C29" s="11">
        <f t="shared" si="4"/>
        <v>29380</v>
      </c>
      <c r="D29" s="12">
        <v>0.0457833333333333</v>
      </c>
      <c r="E29" s="10"/>
      <c r="F29" s="13"/>
      <c r="G29" s="11">
        <v>75</v>
      </c>
      <c r="H29" s="11">
        <v>8100</v>
      </c>
      <c r="I29" s="11">
        <f t="shared" si="5"/>
        <v>261820</v>
      </c>
      <c r="J29" s="12">
        <v>0.113283333333333</v>
      </c>
      <c r="K29" s="10"/>
      <c r="L29" s="13"/>
      <c r="M29" s="3"/>
      <c r="N29" s="16"/>
      <c r="O29" s="13">
        <v>5</v>
      </c>
      <c r="P29" s="11">
        <v>1200</v>
      </c>
      <c r="Q29" s="11">
        <v>124200</v>
      </c>
      <c r="R29" s="10"/>
      <c r="S29" s="19"/>
      <c r="T29" s="10"/>
      <c r="U29" s="10"/>
      <c r="V29" s="10"/>
    </row>
    <row r="30" ht="16.5" spans="1:22">
      <c r="A30" s="10">
        <v>26</v>
      </c>
      <c r="B30" s="11">
        <v>1920</v>
      </c>
      <c r="C30" s="11">
        <f t="shared" si="4"/>
        <v>31300</v>
      </c>
      <c r="D30" s="12">
        <v>0.0465333333333333</v>
      </c>
      <c r="E30" s="10"/>
      <c r="F30" s="13"/>
      <c r="G30" s="11">
        <v>76</v>
      </c>
      <c r="H30" s="11">
        <v>8250</v>
      </c>
      <c r="I30" s="11">
        <f t="shared" si="5"/>
        <v>270070</v>
      </c>
      <c r="J30" s="12">
        <v>0.114033333333333</v>
      </c>
      <c r="K30" s="10"/>
      <c r="L30" s="13"/>
      <c r="M30" s="3"/>
      <c r="N30" s="16"/>
      <c r="O30" s="13">
        <v>6</v>
      </c>
      <c r="P30" s="11">
        <v>1500</v>
      </c>
      <c r="Q30" s="11">
        <v>155400</v>
      </c>
      <c r="R30" s="10"/>
      <c r="S30" s="10" t="s">
        <v>11</v>
      </c>
      <c r="T30" s="10"/>
      <c r="U30" s="10"/>
      <c r="V30" s="10"/>
    </row>
    <row r="31" ht="16.5" spans="1:22">
      <c r="A31" s="10">
        <v>27</v>
      </c>
      <c r="B31" s="11">
        <v>1980</v>
      </c>
      <c r="C31" s="11">
        <f t="shared" si="4"/>
        <v>33280</v>
      </c>
      <c r="D31" s="12">
        <v>0.0472833333333333</v>
      </c>
      <c r="E31" s="10"/>
      <c r="F31" s="13"/>
      <c r="G31" s="11">
        <v>77</v>
      </c>
      <c r="H31" s="11">
        <v>8400</v>
      </c>
      <c r="I31" s="11">
        <f t="shared" si="5"/>
        <v>278470</v>
      </c>
      <c r="J31" s="12">
        <v>0.114783333333333</v>
      </c>
      <c r="K31" s="10"/>
      <c r="L31" s="13"/>
      <c r="M31" s="3"/>
      <c r="N31" s="16"/>
      <c r="O31" s="13">
        <v>7</v>
      </c>
      <c r="P31" s="11">
        <v>1800</v>
      </c>
      <c r="Q31" s="11">
        <v>186600</v>
      </c>
      <c r="R31" s="10"/>
      <c r="S31" s="10"/>
      <c r="T31" s="10"/>
      <c r="U31" s="10"/>
      <c r="V31" s="10"/>
    </row>
    <row r="32" ht="16.5" spans="1:22">
      <c r="A32" s="10">
        <v>28</v>
      </c>
      <c r="B32" s="11">
        <v>2040</v>
      </c>
      <c r="C32" s="11">
        <f t="shared" si="4"/>
        <v>35320</v>
      </c>
      <c r="D32" s="12">
        <v>0.0480333333333333</v>
      </c>
      <c r="E32" s="10"/>
      <c r="F32" s="13"/>
      <c r="G32" s="11">
        <v>78</v>
      </c>
      <c r="H32" s="11">
        <v>8550</v>
      </c>
      <c r="I32" s="11">
        <f t="shared" si="5"/>
        <v>287020</v>
      </c>
      <c r="J32" s="12">
        <v>0.115533333333333</v>
      </c>
      <c r="K32" s="10"/>
      <c r="L32" s="13"/>
      <c r="M32" s="3"/>
      <c r="N32" s="16"/>
      <c r="O32" s="13">
        <v>8</v>
      </c>
      <c r="P32" s="11">
        <v>2100</v>
      </c>
      <c r="Q32" s="11">
        <v>217200</v>
      </c>
      <c r="R32" s="10"/>
      <c r="S32" s="17">
        <f>SUM(Q26:Q34)</f>
        <v>1396800</v>
      </c>
      <c r="T32" s="10"/>
      <c r="U32" s="10"/>
      <c r="V32" s="10"/>
    </row>
    <row r="33" ht="16.5" spans="1:22">
      <c r="A33" s="10">
        <v>29</v>
      </c>
      <c r="B33" s="11">
        <v>2100</v>
      </c>
      <c r="C33" s="11">
        <f t="shared" si="4"/>
        <v>37420</v>
      </c>
      <c r="D33" s="12">
        <v>0.0487833333333333</v>
      </c>
      <c r="E33" s="10"/>
      <c r="F33" s="13"/>
      <c r="G33" s="11">
        <v>79</v>
      </c>
      <c r="H33" s="11">
        <v>8700</v>
      </c>
      <c r="I33" s="11">
        <f t="shared" si="5"/>
        <v>295720</v>
      </c>
      <c r="J33" s="12">
        <v>0.116283333333333</v>
      </c>
      <c r="K33" s="10"/>
      <c r="L33" s="13"/>
      <c r="M33" s="3"/>
      <c r="N33" s="16"/>
      <c r="O33" s="13">
        <v>9</v>
      </c>
      <c r="P33" s="11">
        <v>2400</v>
      </c>
      <c r="Q33" s="11">
        <v>248400</v>
      </c>
      <c r="R33" s="10"/>
      <c r="S33" s="18"/>
      <c r="T33" s="10"/>
      <c r="U33" s="10"/>
      <c r="V33" s="10"/>
    </row>
    <row r="34" ht="16.5" spans="1:22">
      <c r="A34" s="10">
        <v>30</v>
      </c>
      <c r="B34" s="11">
        <v>2190</v>
      </c>
      <c r="C34" s="11">
        <f t="shared" si="4"/>
        <v>39610</v>
      </c>
      <c r="D34" s="12">
        <v>0.0495</v>
      </c>
      <c r="E34" s="10"/>
      <c r="F34" s="13"/>
      <c r="G34" s="11">
        <v>80</v>
      </c>
      <c r="H34" s="11">
        <v>8850</v>
      </c>
      <c r="I34" s="11">
        <f t="shared" si="5"/>
        <v>304570</v>
      </c>
      <c r="J34" s="12">
        <v>0.117</v>
      </c>
      <c r="K34" s="10"/>
      <c r="L34" s="13"/>
      <c r="M34" s="3"/>
      <c r="N34" s="16"/>
      <c r="O34" s="13">
        <v>10</v>
      </c>
      <c r="P34" s="11">
        <v>2700</v>
      </c>
      <c r="Q34" s="11">
        <v>279600</v>
      </c>
      <c r="R34" s="10"/>
      <c r="S34" s="19"/>
      <c r="T34" s="10"/>
      <c r="U34" s="10"/>
      <c r="V34" s="10"/>
    </row>
    <row r="35" ht="16.5" spans="1:22">
      <c r="A35" s="10" t="s">
        <v>31</v>
      </c>
      <c r="B35" s="11"/>
      <c r="C35" s="11"/>
      <c r="D35" s="12">
        <v>0.0555</v>
      </c>
      <c r="E35" s="10">
        <v>24</v>
      </c>
      <c r="F35" s="13" t="s">
        <v>64</v>
      </c>
      <c r="G35" s="11" t="s">
        <v>31</v>
      </c>
      <c r="H35" s="11"/>
      <c r="I35" s="11"/>
      <c r="J35" s="12">
        <v>0.123</v>
      </c>
      <c r="K35" s="10">
        <v>64</v>
      </c>
      <c r="L35" s="13" t="s">
        <v>65</v>
      </c>
      <c r="M35" s="3"/>
      <c r="N35" s="7" t="s">
        <v>8</v>
      </c>
      <c r="O35" s="20" t="s">
        <v>9</v>
      </c>
      <c r="P35" s="20" t="s">
        <v>10</v>
      </c>
      <c r="Q35" s="20" t="s">
        <v>11</v>
      </c>
      <c r="R35" s="20" t="s">
        <v>12</v>
      </c>
      <c r="S35" s="20" t="s">
        <v>13</v>
      </c>
      <c r="T35" s="20" t="s">
        <v>14</v>
      </c>
      <c r="U35" s="20"/>
      <c r="V35" s="20"/>
    </row>
    <row r="36" ht="16.5" spans="1:22">
      <c r="A36" s="10">
        <v>31</v>
      </c>
      <c r="B36" s="11">
        <v>2280</v>
      </c>
      <c r="C36" s="11">
        <f>B36+C34</f>
        <v>41890</v>
      </c>
      <c r="D36" s="12">
        <v>0.0563</v>
      </c>
      <c r="E36" s="10"/>
      <c r="F36" s="13"/>
      <c r="G36" s="11">
        <v>81</v>
      </c>
      <c r="H36" s="11">
        <v>9000</v>
      </c>
      <c r="I36" s="11">
        <f>H36+I34</f>
        <v>313570</v>
      </c>
      <c r="J36" s="12">
        <v>0.1238</v>
      </c>
      <c r="K36" s="10"/>
      <c r="L36" s="13"/>
      <c r="M36" s="3"/>
      <c r="N36" s="14" t="s">
        <v>299</v>
      </c>
      <c r="O36" s="13">
        <v>1</v>
      </c>
      <c r="P36" s="10"/>
      <c r="Q36" s="10"/>
      <c r="R36" s="10"/>
      <c r="S36" s="10" t="s">
        <v>10</v>
      </c>
      <c r="T36" s="10"/>
      <c r="U36" s="10"/>
      <c r="V36" s="10"/>
    </row>
    <row r="37" ht="16.5" spans="1:22">
      <c r="A37" s="10">
        <v>32</v>
      </c>
      <c r="B37" s="11">
        <v>2370</v>
      </c>
      <c r="C37" s="11">
        <f t="shared" ref="C37:C45" si="6">B37+C36</f>
        <v>44260</v>
      </c>
      <c r="D37" s="12">
        <v>0.057</v>
      </c>
      <c r="E37" s="10"/>
      <c r="F37" s="13"/>
      <c r="G37" s="11">
        <v>82</v>
      </c>
      <c r="H37" s="11">
        <v>9150</v>
      </c>
      <c r="I37" s="11">
        <f t="shared" ref="I37:I45" si="7">H37+I36</f>
        <v>322720</v>
      </c>
      <c r="J37" s="12">
        <v>0.1245</v>
      </c>
      <c r="K37" s="10"/>
      <c r="L37" s="13"/>
      <c r="M37" s="3"/>
      <c r="N37" s="16"/>
      <c r="O37" s="13">
        <v>2</v>
      </c>
      <c r="P37" s="11">
        <v>600</v>
      </c>
      <c r="Q37" s="11">
        <v>82800</v>
      </c>
      <c r="R37" s="10"/>
      <c r="S37" s="10"/>
      <c r="T37" s="10"/>
      <c r="U37" s="10"/>
      <c r="V37" s="10"/>
    </row>
    <row r="38" ht="16.5" spans="1:22">
      <c r="A38" s="10">
        <v>33</v>
      </c>
      <c r="B38" s="11">
        <v>2460</v>
      </c>
      <c r="C38" s="11">
        <f t="shared" si="6"/>
        <v>46720</v>
      </c>
      <c r="D38" s="12">
        <v>0.0578</v>
      </c>
      <c r="E38" s="10"/>
      <c r="F38" s="13"/>
      <c r="G38" s="11">
        <v>83</v>
      </c>
      <c r="H38" s="11">
        <v>9300</v>
      </c>
      <c r="I38" s="11">
        <f t="shared" si="7"/>
        <v>332020</v>
      </c>
      <c r="J38" s="12">
        <v>0.125266666666667</v>
      </c>
      <c r="K38" s="10"/>
      <c r="L38" s="13"/>
      <c r="M38" s="3"/>
      <c r="N38" s="16"/>
      <c r="O38" s="13">
        <v>3</v>
      </c>
      <c r="P38" s="11">
        <v>1200</v>
      </c>
      <c r="Q38" s="11">
        <v>165600</v>
      </c>
      <c r="R38" s="10"/>
      <c r="S38" s="17">
        <f>SUM(P37:P45)</f>
        <v>27000</v>
      </c>
      <c r="T38" s="10"/>
      <c r="U38" s="10"/>
      <c r="V38" s="10"/>
    </row>
    <row r="39" ht="16.5" spans="1:22">
      <c r="A39" s="10">
        <v>34</v>
      </c>
      <c r="B39" s="11">
        <v>2550</v>
      </c>
      <c r="C39" s="11">
        <f t="shared" si="6"/>
        <v>49270</v>
      </c>
      <c r="D39" s="12">
        <v>0.0585333333333333</v>
      </c>
      <c r="E39" s="10"/>
      <c r="F39" s="13"/>
      <c r="G39" s="11">
        <v>84</v>
      </c>
      <c r="H39" s="11">
        <v>9450</v>
      </c>
      <c r="I39" s="11">
        <f t="shared" si="7"/>
        <v>341470</v>
      </c>
      <c r="J39" s="12">
        <v>0.126016666666667</v>
      </c>
      <c r="K39" s="10"/>
      <c r="L39" s="13"/>
      <c r="M39" s="3"/>
      <c r="N39" s="16"/>
      <c r="O39" s="13">
        <v>4</v>
      </c>
      <c r="P39" s="11">
        <v>1800</v>
      </c>
      <c r="Q39" s="11">
        <v>248400</v>
      </c>
      <c r="R39" s="10"/>
      <c r="S39" s="18"/>
      <c r="T39" s="10"/>
      <c r="U39" s="10"/>
      <c r="V39" s="10"/>
    </row>
    <row r="40" ht="16.5" spans="1:22">
      <c r="A40" s="10">
        <v>35</v>
      </c>
      <c r="B40" s="11">
        <v>2640</v>
      </c>
      <c r="C40" s="11">
        <f t="shared" si="6"/>
        <v>51910</v>
      </c>
      <c r="D40" s="12">
        <v>0.0592833333333333</v>
      </c>
      <c r="E40" s="10"/>
      <c r="F40" s="13"/>
      <c r="G40" s="11">
        <v>85</v>
      </c>
      <c r="H40" s="11">
        <v>9600</v>
      </c>
      <c r="I40" s="11">
        <f t="shared" si="7"/>
        <v>351070</v>
      </c>
      <c r="J40" s="12">
        <v>0.126766666666667</v>
      </c>
      <c r="K40" s="10"/>
      <c r="L40" s="13"/>
      <c r="M40" s="3"/>
      <c r="N40" s="16"/>
      <c r="O40" s="13">
        <v>5</v>
      </c>
      <c r="P40" s="11">
        <v>2400</v>
      </c>
      <c r="Q40" s="11">
        <v>331800</v>
      </c>
      <c r="R40" s="10"/>
      <c r="S40" s="19"/>
      <c r="T40" s="10"/>
      <c r="U40" s="10"/>
      <c r="V40" s="10"/>
    </row>
    <row r="41" ht="16.5" spans="1:22">
      <c r="A41" s="10">
        <v>36</v>
      </c>
      <c r="B41" s="11">
        <v>2730</v>
      </c>
      <c r="C41" s="11">
        <f t="shared" si="6"/>
        <v>54640</v>
      </c>
      <c r="D41" s="12">
        <v>0.0600333333333334</v>
      </c>
      <c r="E41" s="10"/>
      <c r="F41" s="13"/>
      <c r="G41" s="11">
        <v>86</v>
      </c>
      <c r="H41" s="11">
        <v>9750</v>
      </c>
      <c r="I41" s="11">
        <f t="shared" si="7"/>
        <v>360820</v>
      </c>
      <c r="J41" s="12">
        <v>0.127516666666667</v>
      </c>
      <c r="K41" s="10"/>
      <c r="L41" s="13"/>
      <c r="M41" s="3"/>
      <c r="N41" s="16"/>
      <c r="O41" s="13">
        <v>6</v>
      </c>
      <c r="P41" s="11">
        <v>3000</v>
      </c>
      <c r="Q41" s="11">
        <v>414600</v>
      </c>
      <c r="R41" s="10"/>
      <c r="S41" s="10" t="s">
        <v>11</v>
      </c>
      <c r="T41" s="10"/>
      <c r="U41" s="10"/>
      <c r="V41" s="10"/>
    </row>
    <row r="42" ht="16.5" spans="1:22">
      <c r="A42" s="10">
        <v>37</v>
      </c>
      <c r="B42" s="11">
        <v>2820</v>
      </c>
      <c r="C42" s="11">
        <f t="shared" si="6"/>
        <v>57460</v>
      </c>
      <c r="D42" s="12">
        <v>0.0607833333333334</v>
      </c>
      <c r="E42" s="10"/>
      <c r="F42" s="13"/>
      <c r="G42" s="11">
        <v>87</v>
      </c>
      <c r="H42" s="11">
        <v>9900</v>
      </c>
      <c r="I42" s="11">
        <f t="shared" si="7"/>
        <v>370720</v>
      </c>
      <c r="J42" s="12">
        <v>0.128266666666667</v>
      </c>
      <c r="K42" s="10"/>
      <c r="L42" s="13"/>
      <c r="M42" s="3"/>
      <c r="N42" s="16"/>
      <c r="O42" s="13">
        <v>7</v>
      </c>
      <c r="P42" s="11">
        <v>3600</v>
      </c>
      <c r="Q42" s="11">
        <v>497400</v>
      </c>
      <c r="R42" s="10"/>
      <c r="S42" s="10"/>
      <c r="T42" s="10"/>
      <c r="U42" s="10"/>
      <c r="V42" s="10"/>
    </row>
    <row r="43" ht="16.5" spans="1:22">
      <c r="A43" s="10">
        <v>38</v>
      </c>
      <c r="B43" s="11">
        <v>2910</v>
      </c>
      <c r="C43" s="11">
        <f t="shared" si="6"/>
        <v>60370</v>
      </c>
      <c r="D43" s="12">
        <v>0.0615333333333334</v>
      </c>
      <c r="E43" s="10"/>
      <c r="F43" s="13"/>
      <c r="G43" s="11">
        <v>88</v>
      </c>
      <c r="H43" s="11">
        <v>10050</v>
      </c>
      <c r="I43" s="11">
        <f t="shared" si="7"/>
        <v>380770</v>
      </c>
      <c r="J43" s="12">
        <v>0.129016666666667</v>
      </c>
      <c r="K43" s="10"/>
      <c r="L43" s="13"/>
      <c r="M43" s="3"/>
      <c r="N43" s="16"/>
      <c r="O43" s="13">
        <v>8</v>
      </c>
      <c r="P43" s="11">
        <v>4200</v>
      </c>
      <c r="Q43" s="11">
        <v>580200</v>
      </c>
      <c r="R43" s="10"/>
      <c r="S43" s="17">
        <f>SUM(Q37:Q45)</f>
        <v>3730800</v>
      </c>
      <c r="T43" s="10"/>
      <c r="U43" s="10"/>
      <c r="V43" s="10"/>
    </row>
    <row r="44" ht="16.5" spans="1:22">
      <c r="A44" s="10">
        <v>39</v>
      </c>
      <c r="B44" s="11">
        <v>3000</v>
      </c>
      <c r="C44" s="11">
        <f t="shared" si="6"/>
        <v>63370</v>
      </c>
      <c r="D44" s="12">
        <v>0.0622833333333334</v>
      </c>
      <c r="E44" s="10"/>
      <c r="F44" s="13"/>
      <c r="G44" s="11">
        <v>89</v>
      </c>
      <c r="H44" s="11">
        <v>10200</v>
      </c>
      <c r="I44" s="11">
        <f t="shared" si="7"/>
        <v>390970</v>
      </c>
      <c r="J44" s="12">
        <v>0.129766666666667</v>
      </c>
      <c r="K44" s="10"/>
      <c r="L44" s="13"/>
      <c r="M44" s="3"/>
      <c r="N44" s="16"/>
      <c r="O44" s="13">
        <v>9</v>
      </c>
      <c r="P44" s="11">
        <v>4800</v>
      </c>
      <c r="Q44" s="11">
        <v>663600</v>
      </c>
      <c r="R44" s="10"/>
      <c r="S44" s="18"/>
      <c r="T44" s="10"/>
      <c r="U44" s="10"/>
      <c r="V44" s="10"/>
    </row>
    <row r="45" ht="16.5" spans="1:22">
      <c r="A45" s="10">
        <v>40</v>
      </c>
      <c r="B45" s="11">
        <v>3120</v>
      </c>
      <c r="C45" s="11">
        <f t="shared" si="6"/>
        <v>66490</v>
      </c>
      <c r="D45" s="12">
        <v>0.063</v>
      </c>
      <c r="E45" s="10"/>
      <c r="F45" s="13"/>
      <c r="G45" s="11">
        <v>90</v>
      </c>
      <c r="H45" s="11">
        <v>10350</v>
      </c>
      <c r="I45" s="11">
        <f t="shared" si="7"/>
        <v>401320</v>
      </c>
      <c r="J45" s="12">
        <v>0.1305</v>
      </c>
      <c r="K45" s="10"/>
      <c r="L45" s="13"/>
      <c r="M45" s="3"/>
      <c r="N45" s="16"/>
      <c r="O45" s="13">
        <v>10</v>
      </c>
      <c r="P45" s="11">
        <v>5400</v>
      </c>
      <c r="Q45" s="11">
        <v>746400</v>
      </c>
      <c r="R45" s="10"/>
      <c r="S45" s="19"/>
      <c r="T45" s="10"/>
      <c r="U45" s="10"/>
      <c r="V45" s="10"/>
    </row>
    <row r="46" ht="16.5" spans="1:22">
      <c r="A46" s="10" t="s">
        <v>31</v>
      </c>
      <c r="B46" s="11"/>
      <c r="C46" s="11"/>
      <c r="D46" s="12">
        <v>0.069</v>
      </c>
      <c r="E46" s="10">
        <v>32</v>
      </c>
      <c r="F46" s="13" t="s">
        <v>80</v>
      </c>
      <c r="G46" s="11" t="s">
        <v>31</v>
      </c>
      <c r="H46" s="11"/>
      <c r="I46" s="11"/>
      <c r="J46" s="12">
        <v>0.1365</v>
      </c>
      <c r="K46" s="10">
        <v>72</v>
      </c>
      <c r="L46" s="13" t="s">
        <v>81</v>
      </c>
      <c r="M46" s="3"/>
      <c r="N46" s="20" t="s">
        <v>8</v>
      </c>
      <c r="O46" s="20"/>
      <c r="P46" s="20" t="s">
        <v>2</v>
      </c>
      <c r="Q46" s="20" t="s">
        <v>7</v>
      </c>
      <c r="R46" s="20"/>
      <c r="S46" s="20" t="s">
        <v>82</v>
      </c>
      <c r="T46" s="20" t="s">
        <v>14</v>
      </c>
      <c r="U46" s="20"/>
      <c r="V46" s="20"/>
    </row>
    <row r="47" ht="16.5" spans="1:22">
      <c r="A47" s="10">
        <v>41</v>
      </c>
      <c r="B47" s="11">
        <v>3240</v>
      </c>
      <c r="C47" s="11">
        <f>B47+C45</f>
        <v>69730</v>
      </c>
      <c r="D47" s="12">
        <v>0.0698</v>
      </c>
      <c r="E47" s="10"/>
      <c r="F47" s="13"/>
      <c r="G47" s="11">
        <v>91</v>
      </c>
      <c r="H47" s="11">
        <v>10500</v>
      </c>
      <c r="I47" s="11">
        <f>H47+I45</f>
        <v>411820</v>
      </c>
      <c r="J47" s="12">
        <v>0.1373</v>
      </c>
      <c r="K47" s="10"/>
      <c r="L47" s="13"/>
      <c r="M47" s="3"/>
      <c r="N47" s="14" t="s">
        <v>300</v>
      </c>
      <c r="O47" s="16"/>
      <c r="P47" s="13">
        <v>1</v>
      </c>
      <c r="Q47" s="10" t="s">
        <v>15</v>
      </c>
      <c r="R47" s="10"/>
      <c r="S47" s="10">
        <v>1</v>
      </c>
      <c r="T47" s="10"/>
      <c r="U47" s="10"/>
      <c r="V47" s="10"/>
    </row>
    <row r="48" ht="16.5" spans="1:22">
      <c r="A48" s="10">
        <v>42</v>
      </c>
      <c r="B48" s="11">
        <v>3380</v>
      </c>
      <c r="C48" s="11">
        <f t="shared" ref="C48:C56" si="8">B48+C47</f>
        <v>73110</v>
      </c>
      <c r="D48" s="12">
        <v>0.0705</v>
      </c>
      <c r="E48" s="10"/>
      <c r="F48" s="13"/>
      <c r="G48" s="11">
        <v>92</v>
      </c>
      <c r="H48" s="11">
        <v>10650</v>
      </c>
      <c r="I48" s="11">
        <f t="shared" ref="I48:I56" si="9">H48+I47</f>
        <v>422470</v>
      </c>
      <c r="J48" s="12">
        <v>0.138</v>
      </c>
      <c r="K48" s="10"/>
      <c r="L48" s="13"/>
      <c r="M48" s="3"/>
      <c r="N48" s="16"/>
      <c r="O48" s="16"/>
      <c r="P48" s="13">
        <v>10</v>
      </c>
      <c r="Q48" s="10" t="s">
        <v>32</v>
      </c>
      <c r="R48" s="10"/>
      <c r="S48" s="10">
        <v>2</v>
      </c>
      <c r="T48" s="10"/>
      <c r="U48" s="10"/>
      <c r="V48" s="10"/>
    </row>
    <row r="49" ht="16.5" spans="1:22">
      <c r="A49" s="10">
        <v>43</v>
      </c>
      <c r="B49" s="11">
        <v>3460</v>
      </c>
      <c r="C49" s="11">
        <f t="shared" si="8"/>
        <v>76570</v>
      </c>
      <c r="D49" s="12">
        <v>0.0713</v>
      </c>
      <c r="E49" s="10"/>
      <c r="F49" s="13"/>
      <c r="G49" s="11">
        <v>93</v>
      </c>
      <c r="H49" s="11">
        <v>10800</v>
      </c>
      <c r="I49" s="11">
        <f t="shared" si="9"/>
        <v>433270</v>
      </c>
      <c r="J49" s="12">
        <v>0.1388</v>
      </c>
      <c r="K49" s="10"/>
      <c r="L49" s="13"/>
      <c r="M49" s="3"/>
      <c r="N49" s="16"/>
      <c r="O49" s="16"/>
      <c r="P49" s="13">
        <v>20</v>
      </c>
      <c r="Q49" s="10" t="s">
        <v>48</v>
      </c>
      <c r="R49" s="10"/>
      <c r="S49" s="10">
        <v>3</v>
      </c>
      <c r="T49" s="10"/>
      <c r="U49" s="10"/>
      <c r="V49" s="10"/>
    </row>
    <row r="50" ht="16.5" spans="1:22">
      <c r="A50" s="10">
        <v>44</v>
      </c>
      <c r="B50" s="11">
        <v>3600</v>
      </c>
      <c r="C50" s="11">
        <f t="shared" si="8"/>
        <v>80170</v>
      </c>
      <c r="D50" s="12">
        <v>0.0720333333333333</v>
      </c>
      <c r="E50" s="10"/>
      <c r="F50" s="13"/>
      <c r="G50" s="11">
        <v>94</v>
      </c>
      <c r="H50" s="11">
        <v>10950</v>
      </c>
      <c r="I50" s="11">
        <f t="shared" si="9"/>
        <v>444220</v>
      </c>
      <c r="J50" s="12">
        <v>0.139533333333333</v>
      </c>
      <c r="K50" s="10"/>
      <c r="L50" s="13"/>
      <c r="M50" s="3"/>
      <c r="N50" s="16"/>
      <c r="O50" s="16"/>
      <c r="P50" s="13">
        <v>30</v>
      </c>
      <c r="Q50" s="10" t="s">
        <v>64</v>
      </c>
      <c r="R50" s="10"/>
      <c r="S50" s="10">
        <v>4</v>
      </c>
      <c r="T50" s="10"/>
      <c r="U50" s="10"/>
      <c r="V50" s="10"/>
    </row>
    <row r="51" ht="16.5" spans="1:22">
      <c r="A51" s="10">
        <v>45</v>
      </c>
      <c r="B51" s="11">
        <v>3720</v>
      </c>
      <c r="C51" s="11">
        <f t="shared" si="8"/>
        <v>83890</v>
      </c>
      <c r="D51" s="12">
        <v>0.0727833333333333</v>
      </c>
      <c r="E51" s="10"/>
      <c r="F51" s="13"/>
      <c r="G51" s="11">
        <v>95</v>
      </c>
      <c r="H51" s="11">
        <v>11100</v>
      </c>
      <c r="I51" s="11">
        <f t="shared" si="9"/>
        <v>455320</v>
      </c>
      <c r="J51" s="12">
        <v>0.140283333333333</v>
      </c>
      <c r="K51" s="10"/>
      <c r="L51" s="13"/>
      <c r="M51" s="3"/>
      <c r="N51" s="16"/>
      <c r="O51" s="16"/>
      <c r="P51" s="13">
        <v>40</v>
      </c>
      <c r="Q51" s="10" t="s">
        <v>80</v>
      </c>
      <c r="R51" s="10"/>
      <c r="S51" s="10">
        <v>5</v>
      </c>
      <c r="T51" s="10"/>
      <c r="U51" s="10"/>
      <c r="V51" s="10"/>
    </row>
    <row r="52" ht="16.5" spans="1:22">
      <c r="A52" s="10">
        <v>46</v>
      </c>
      <c r="B52" s="11">
        <v>3840</v>
      </c>
      <c r="C52" s="11">
        <f t="shared" si="8"/>
        <v>87730</v>
      </c>
      <c r="D52" s="12">
        <v>0.0735333333333333</v>
      </c>
      <c r="E52" s="10"/>
      <c r="F52" s="13"/>
      <c r="G52" s="11">
        <v>96</v>
      </c>
      <c r="H52" s="11">
        <v>11250</v>
      </c>
      <c r="I52" s="11">
        <f t="shared" si="9"/>
        <v>466570</v>
      </c>
      <c r="J52" s="12">
        <v>0.141033333333333</v>
      </c>
      <c r="K52" s="10"/>
      <c r="L52" s="13"/>
      <c r="M52" s="3"/>
      <c r="N52" s="16"/>
      <c r="O52" s="16"/>
      <c r="P52" s="13">
        <v>50</v>
      </c>
      <c r="Q52" s="10" t="s">
        <v>16</v>
      </c>
      <c r="R52" s="10"/>
      <c r="S52" s="10">
        <v>6</v>
      </c>
      <c r="T52" s="10"/>
      <c r="U52" s="10"/>
      <c r="V52" s="10"/>
    </row>
    <row r="53" ht="16.5" spans="1:22">
      <c r="A53" s="10">
        <v>47</v>
      </c>
      <c r="B53" s="11">
        <v>3960</v>
      </c>
      <c r="C53" s="11">
        <f t="shared" si="8"/>
        <v>91690</v>
      </c>
      <c r="D53" s="12">
        <v>0.0742833333333333</v>
      </c>
      <c r="E53" s="10"/>
      <c r="F53" s="13"/>
      <c r="G53" s="11">
        <v>97</v>
      </c>
      <c r="H53" s="11">
        <v>11400</v>
      </c>
      <c r="I53" s="11">
        <f t="shared" si="9"/>
        <v>477970</v>
      </c>
      <c r="J53" s="12">
        <v>0.141783333333333</v>
      </c>
      <c r="K53" s="10"/>
      <c r="L53" s="13"/>
      <c r="M53" s="3"/>
      <c r="N53" s="16"/>
      <c r="O53" s="16"/>
      <c r="P53" s="13">
        <v>60</v>
      </c>
      <c r="Q53" s="10" t="s">
        <v>33</v>
      </c>
      <c r="R53" s="10"/>
      <c r="S53" s="10">
        <v>7</v>
      </c>
      <c r="T53" s="10"/>
      <c r="U53" s="10"/>
      <c r="V53" s="10"/>
    </row>
    <row r="54" ht="16.5" spans="1:22">
      <c r="A54" s="10">
        <v>48</v>
      </c>
      <c r="B54" s="11">
        <v>4080</v>
      </c>
      <c r="C54" s="11">
        <f t="shared" si="8"/>
        <v>95770</v>
      </c>
      <c r="D54" s="12">
        <v>0.0750333333333333</v>
      </c>
      <c r="E54" s="10"/>
      <c r="F54" s="13"/>
      <c r="G54" s="11">
        <v>98</v>
      </c>
      <c r="H54" s="11">
        <v>11550</v>
      </c>
      <c r="I54" s="11">
        <f t="shared" si="9"/>
        <v>489520</v>
      </c>
      <c r="J54" s="12">
        <v>0.142533333333333</v>
      </c>
      <c r="K54" s="10"/>
      <c r="L54" s="13"/>
      <c r="M54" s="3"/>
      <c r="N54" s="16"/>
      <c r="O54" s="16"/>
      <c r="P54" s="13">
        <v>70</v>
      </c>
      <c r="Q54" s="10" t="s">
        <v>49</v>
      </c>
      <c r="R54" s="10"/>
      <c r="S54" s="10">
        <v>8</v>
      </c>
      <c r="T54" s="10"/>
      <c r="U54" s="10"/>
      <c r="V54" s="10"/>
    </row>
    <row r="55" ht="16.5" spans="1:22">
      <c r="A55" s="10">
        <v>49</v>
      </c>
      <c r="B55" s="11">
        <v>4200</v>
      </c>
      <c r="C55" s="11">
        <f t="shared" si="8"/>
        <v>99970</v>
      </c>
      <c r="D55" s="12">
        <v>0.0757833333333333</v>
      </c>
      <c r="E55" s="10"/>
      <c r="F55" s="13"/>
      <c r="G55" s="11">
        <v>99</v>
      </c>
      <c r="H55" s="11">
        <v>11700</v>
      </c>
      <c r="I55" s="11">
        <f t="shared" si="9"/>
        <v>501220</v>
      </c>
      <c r="J55" s="12">
        <v>0.143283333333333</v>
      </c>
      <c r="K55" s="10"/>
      <c r="L55" s="13"/>
      <c r="M55" s="3"/>
      <c r="N55" s="16"/>
      <c r="O55" s="16"/>
      <c r="P55" s="13">
        <v>80</v>
      </c>
      <c r="Q55" s="10" t="s">
        <v>65</v>
      </c>
      <c r="R55" s="10"/>
      <c r="S55" s="10">
        <v>9</v>
      </c>
      <c r="T55" s="10"/>
      <c r="U55" s="10"/>
      <c r="V55" s="10"/>
    </row>
    <row r="56" ht="16.5" spans="1:22">
      <c r="A56" s="10">
        <v>50</v>
      </c>
      <c r="B56" s="11">
        <v>4350</v>
      </c>
      <c r="C56" s="11">
        <f t="shared" si="8"/>
        <v>104320</v>
      </c>
      <c r="D56" s="12">
        <v>0.0765</v>
      </c>
      <c r="E56" s="10"/>
      <c r="F56" s="13"/>
      <c r="G56" s="11">
        <v>100</v>
      </c>
      <c r="H56" s="11">
        <v>11850</v>
      </c>
      <c r="I56" s="11">
        <f t="shared" si="9"/>
        <v>513070</v>
      </c>
      <c r="J56" s="12">
        <v>0.144</v>
      </c>
      <c r="K56" s="10"/>
      <c r="L56" s="13"/>
      <c r="M56" s="3"/>
      <c r="N56" s="16"/>
      <c r="O56" s="16"/>
      <c r="P56" s="13">
        <v>90</v>
      </c>
      <c r="Q56" s="10" t="s">
        <v>81</v>
      </c>
      <c r="R56" s="10"/>
      <c r="S56" s="10">
        <v>10</v>
      </c>
      <c r="T56" s="10"/>
      <c r="U56" s="10"/>
      <c r="V56" s="10"/>
    </row>
    <row r="57" ht="16.5" spans="1:22">
      <c r="A57" s="10" t="s">
        <v>31</v>
      </c>
      <c r="B57" s="10"/>
      <c r="C57" s="10"/>
      <c r="D57" s="10">
        <v>0.0825</v>
      </c>
      <c r="E57" s="10">
        <v>40</v>
      </c>
      <c r="F57" s="13" t="s">
        <v>16</v>
      </c>
      <c r="G57" s="10" t="s">
        <v>31</v>
      </c>
      <c r="H57" s="10"/>
      <c r="I57" s="10"/>
      <c r="J57" s="12">
        <v>0.15</v>
      </c>
      <c r="K57" s="10">
        <v>80</v>
      </c>
      <c r="L57" s="13" t="s">
        <v>94</v>
      </c>
      <c r="M57" s="3"/>
      <c r="N57" s="16"/>
      <c r="O57" s="16"/>
      <c r="P57" s="13">
        <v>100</v>
      </c>
      <c r="Q57" s="10" t="s">
        <v>94</v>
      </c>
      <c r="R57" s="10"/>
      <c r="S57" s="10">
        <v>11</v>
      </c>
      <c r="T57" s="10"/>
      <c r="U57" s="10"/>
      <c r="V57" s="10"/>
    </row>
    <row r="58" spans="1:22">
      <c r="A58" s="44" t="s">
        <v>96</v>
      </c>
      <c r="B58" s="44"/>
      <c r="C58" s="45"/>
      <c r="D58" s="45"/>
      <c r="E58" s="44" t="s">
        <v>97</v>
      </c>
      <c r="F58" s="44">
        <f>I56</f>
        <v>513070</v>
      </c>
      <c r="G58" s="45"/>
      <c r="H58" s="45"/>
      <c r="I58" s="44" t="s">
        <v>6</v>
      </c>
      <c r="J58" s="44">
        <f>E13+E24+E35+E46+E57+K13+K24+K35+K46+K57</f>
        <v>440</v>
      </c>
      <c r="K58" s="45"/>
      <c r="L58" s="45"/>
      <c r="M58" s="3"/>
      <c r="N58" s="44" t="s">
        <v>96</v>
      </c>
      <c r="O58" s="44"/>
      <c r="P58" s="45"/>
      <c r="Q58" s="44" t="s">
        <v>10</v>
      </c>
      <c r="R58" s="44">
        <f>S5+S16+S27+S38</f>
        <v>81000</v>
      </c>
      <c r="S58" s="3"/>
      <c r="T58" s="44" t="s">
        <v>11</v>
      </c>
      <c r="U58" s="44">
        <f>S10+S21+S32+S43</f>
        <v>10255200</v>
      </c>
      <c r="V58" s="3"/>
    </row>
    <row r="59" spans="1:22">
      <c r="A59" s="44"/>
      <c r="B59" s="44"/>
      <c r="C59" s="45"/>
      <c r="D59" s="45"/>
      <c r="E59" s="44"/>
      <c r="F59" s="44"/>
      <c r="G59" s="45"/>
      <c r="H59" s="45"/>
      <c r="I59" s="44"/>
      <c r="J59" s="44"/>
      <c r="K59" s="45"/>
      <c r="L59" s="45"/>
      <c r="M59" s="3"/>
      <c r="N59" s="44"/>
      <c r="O59" s="44"/>
      <c r="P59" s="45"/>
      <c r="Q59" s="44"/>
      <c r="R59" s="44"/>
      <c r="S59" s="3"/>
      <c r="T59" s="44"/>
      <c r="U59" s="44"/>
      <c r="V59" s="3"/>
    </row>
  </sheetData>
  <mergeCells count="131">
    <mergeCell ref="A1:B1"/>
    <mergeCell ref="C1:L1"/>
    <mergeCell ref="N1:O1"/>
    <mergeCell ref="P1:V1"/>
    <mergeCell ref="T2:V2"/>
    <mergeCell ref="T3:V3"/>
    <mergeCell ref="T4:V4"/>
    <mergeCell ref="T5:V5"/>
    <mergeCell ref="T6:V6"/>
    <mergeCell ref="T7:V7"/>
    <mergeCell ref="T8:V8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N46:O46"/>
    <mergeCell ref="Q46:R46"/>
    <mergeCell ref="T46:V46"/>
    <mergeCell ref="Q47:R47"/>
    <mergeCell ref="T47:V47"/>
    <mergeCell ref="Q48:R48"/>
    <mergeCell ref="T48:V48"/>
    <mergeCell ref="Q49:R49"/>
    <mergeCell ref="T49:V49"/>
    <mergeCell ref="Q50:R50"/>
    <mergeCell ref="T50:V50"/>
    <mergeCell ref="Q51:R51"/>
    <mergeCell ref="T51:V51"/>
    <mergeCell ref="Q52:R52"/>
    <mergeCell ref="T52:V52"/>
    <mergeCell ref="Q53:R53"/>
    <mergeCell ref="T53:V53"/>
    <mergeCell ref="Q54:R54"/>
    <mergeCell ref="T54:V54"/>
    <mergeCell ref="Q55:R55"/>
    <mergeCell ref="T55:V55"/>
    <mergeCell ref="Q56:R56"/>
    <mergeCell ref="T56:V56"/>
    <mergeCell ref="Q57:R57"/>
    <mergeCell ref="T57:V57"/>
    <mergeCell ref="E3:E12"/>
    <mergeCell ref="E14:E23"/>
    <mergeCell ref="E25:E34"/>
    <mergeCell ref="E36:E45"/>
    <mergeCell ref="E47:E56"/>
    <mergeCell ref="E58:E59"/>
    <mergeCell ref="F3:F12"/>
    <mergeCell ref="F13:F23"/>
    <mergeCell ref="F24:F34"/>
    <mergeCell ref="F35:F45"/>
    <mergeCell ref="F46:F56"/>
    <mergeCell ref="F58:F59"/>
    <mergeCell ref="I58:I59"/>
    <mergeCell ref="J58:J59"/>
    <mergeCell ref="K3:K12"/>
    <mergeCell ref="K14:K23"/>
    <mergeCell ref="K25:K34"/>
    <mergeCell ref="K36:K45"/>
    <mergeCell ref="K47:K56"/>
    <mergeCell ref="L3:L12"/>
    <mergeCell ref="L13:L23"/>
    <mergeCell ref="L24:L34"/>
    <mergeCell ref="L35:L45"/>
    <mergeCell ref="L46:L56"/>
    <mergeCell ref="M2:M59"/>
    <mergeCell ref="N3:N12"/>
    <mergeCell ref="N14:N23"/>
    <mergeCell ref="N25:N34"/>
    <mergeCell ref="N36:N45"/>
    <mergeCell ref="P58:P59"/>
    <mergeCell ref="Q58:Q59"/>
    <mergeCell ref="R58:R59"/>
    <mergeCell ref="S3:S4"/>
    <mergeCell ref="S5:S7"/>
    <mergeCell ref="S8:S9"/>
    <mergeCell ref="S10:S12"/>
    <mergeCell ref="S14:S15"/>
    <mergeCell ref="S16:S18"/>
    <mergeCell ref="S19:S20"/>
    <mergeCell ref="S21:S23"/>
    <mergeCell ref="S25:S26"/>
    <mergeCell ref="S27:S29"/>
    <mergeCell ref="S30:S31"/>
    <mergeCell ref="S32:S34"/>
    <mergeCell ref="S36:S37"/>
    <mergeCell ref="S38:S40"/>
    <mergeCell ref="S41:S42"/>
    <mergeCell ref="S43:S45"/>
    <mergeCell ref="S58:S59"/>
    <mergeCell ref="T58:T59"/>
    <mergeCell ref="U58:U59"/>
    <mergeCell ref="V58:V59"/>
    <mergeCell ref="N47:O57"/>
    <mergeCell ref="A58:B59"/>
    <mergeCell ref="C58:D59"/>
    <mergeCell ref="G58:H59"/>
    <mergeCell ref="K58:L59"/>
    <mergeCell ref="N58:O59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7"/>
  <sheetViews>
    <sheetView workbookViewId="0">
      <selection activeCell="A1" sqref="A1:V77"/>
    </sheetView>
  </sheetViews>
  <sheetFormatPr defaultColWidth="8.72727272727273" defaultRowHeight="14"/>
  <sheetData>
    <row r="1" ht="36.5" spans="1:22">
      <c r="A1" s="1" t="s">
        <v>0</v>
      </c>
      <c r="B1" s="1"/>
      <c r="C1" s="2" t="s">
        <v>301</v>
      </c>
      <c r="D1" s="2"/>
      <c r="E1" s="2"/>
      <c r="F1" s="2"/>
      <c r="G1" s="2"/>
      <c r="H1" s="2"/>
      <c r="I1" s="2"/>
      <c r="J1" s="2"/>
      <c r="K1" s="2"/>
      <c r="L1" s="2"/>
      <c r="M1" s="3"/>
      <c r="N1" s="1" t="s">
        <v>0</v>
      </c>
      <c r="O1" s="1"/>
      <c r="P1" s="2" t="s">
        <v>301</v>
      </c>
      <c r="Q1" s="2"/>
      <c r="R1" s="2"/>
      <c r="S1" s="2"/>
      <c r="T1" s="2"/>
      <c r="U1" s="2"/>
      <c r="V1" s="2"/>
    </row>
    <row r="2" ht="66" spans="1:22">
      <c r="A2" s="7" t="s">
        <v>2</v>
      </c>
      <c r="B2" s="7" t="s">
        <v>3</v>
      </c>
      <c r="C2" s="7" t="s">
        <v>4</v>
      </c>
      <c r="D2" s="53" t="s">
        <v>100</v>
      </c>
      <c r="E2" s="7" t="s">
        <v>6</v>
      </c>
      <c r="F2" s="7" t="s">
        <v>7</v>
      </c>
      <c r="G2" s="7" t="s">
        <v>2</v>
      </c>
      <c r="H2" s="7" t="s">
        <v>3</v>
      </c>
      <c r="I2" s="7" t="s">
        <v>4</v>
      </c>
      <c r="J2" s="53" t="s">
        <v>100</v>
      </c>
      <c r="K2" s="7" t="s">
        <v>6</v>
      </c>
      <c r="L2" s="7" t="s">
        <v>7</v>
      </c>
      <c r="M2" s="3"/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/>
      <c r="V2" s="7"/>
    </row>
    <row r="3" ht="16.5" spans="1:22">
      <c r="A3" s="10">
        <v>1</v>
      </c>
      <c r="B3" s="11">
        <v>1000</v>
      </c>
      <c r="C3" s="10"/>
      <c r="D3" s="12">
        <v>0.021</v>
      </c>
      <c r="E3" s="10"/>
      <c r="F3" s="13" t="s">
        <v>15</v>
      </c>
      <c r="G3" s="10">
        <v>51</v>
      </c>
      <c r="H3" s="11">
        <v>8250</v>
      </c>
      <c r="I3" s="11">
        <f>H3+C56</f>
        <v>198920</v>
      </c>
      <c r="J3" s="12">
        <v>0.111</v>
      </c>
      <c r="K3" s="10"/>
      <c r="L3" s="13" t="s">
        <v>16</v>
      </c>
      <c r="M3" s="3"/>
      <c r="N3" s="14" t="s">
        <v>302</v>
      </c>
      <c r="O3" s="13">
        <v>1</v>
      </c>
      <c r="P3" s="10"/>
      <c r="Q3" s="10"/>
      <c r="R3" s="10"/>
      <c r="S3" s="10" t="s">
        <v>10</v>
      </c>
      <c r="T3" s="10"/>
      <c r="U3" s="10"/>
      <c r="V3" s="10"/>
    </row>
    <row r="4" ht="16.5" spans="1:22">
      <c r="A4" s="10">
        <v>2</v>
      </c>
      <c r="B4" s="11">
        <v>1100</v>
      </c>
      <c r="C4" s="11">
        <f>B3+B4</f>
        <v>2100</v>
      </c>
      <c r="D4" s="12">
        <v>0.022</v>
      </c>
      <c r="E4" s="10"/>
      <c r="F4" s="13"/>
      <c r="G4" s="11">
        <v>52</v>
      </c>
      <c r="H4" s="11">
        <v>8530</v>
      </c>
      <c r="I4" s="11">
        <f t="shared" ref="I4:I12" si="0">H4+I3</f>
        <v>207450</v>
      </c>
      <c r="J4" s="12">
        <v>0.112</v>
      </c>
      <c r="K4" s="10"/>
      <c r="L4" s="13"/>
      <c r="M4" s="3"/>
      <c r="N4" s="16"/>
      <c r="O4" s="13">
        <v>2</v>
      </c>
      <c r="P4" s="11">
        <v>300</v>
      </c>
      <c r="Q4" s="11">
        <v>30600</v>
      </c>
      <c r="R4" s="10"/>
      <c r="S4" s="10"/>
      <c r="T4" s="10"/>
      <c r="U4" s="10"/>
      <c r="V4" s="10"/>
    </row>
    <row r="5" ht="16.5" spans="1:22">
      <c r="A5" s="10">
        <v>3</v>
      </c>
      <c r="B5" s="11">
        <v>1160</v>
      </c>
      <c r="C5" s="11">
        <f t="shared" ref="C5:C12" si="1">B5+C4</f>
        <v>3260</v>
      </c>
      <c r="D5" s="12">
        <v>0.023</v>
      </c>
      <c r="E5" s="10"/>
      <c r="F5" s="13"/>
      <c r="G5" s="11">
        <v>53</v>
      </c>
      <c r="H5" s="11">
        <v>8800</v>
      </c>
      <c r="I5" s="11">
        <f t="shared" si="0"/>
        <v>216250</v>
      </c>
      <c r="J5" s="12">
        <v>0.113</v>
      </c>
      <c r="K5" s="10"/>
      <c r="L5" s="13"/>
      <c r="M5" s="3"/>
      <c r="N5" s="16"/>
      <c r="O5" s="13">
        <v>3</v>
      </c>
      <c r="P5" s="11">
        <v>600</v>
      </c>
      <c r="Q5" s="11">
        <v>61800</v>
      </c>
      <c r="R5" s="10"/>
      <c r="S5" s="17">
        <f>SUM(P4:P12)</f>
        <v>13500</v>
      </c>
      <c r="T5" s="10"/>
      <c r="U5" s="10"/>
      <c r="V5" s="10"/>
    </row>
    <row r="6" ht="16.5" spans="1:22">
      <c r="A6" s="10">
        <v>4</v>
      </c>
      <c r="B6" s="11">
        <v>1210</v>
      </c>
      <c r="C6" s="11">
        <f t="shared" si="1"/>
        <v>4470</v>
      </c>
      <c r="D6" s="12">
        <v>0.024</v>
      </c>
      <c r="E6" s="10"/>
      <c r="F6" s="13"/>
      <c r="G6" s="11">
        <v>54</v>
      </c>
      <c r="H6" s="11">
        <v>9080</v>
      </c>
      <c r="I6" s="11">
        <f t="shared" si="0"/>
        <v>225330</v>
      </c>
      <c r="J6" s="12">
        <v>0.114</v>
      </c>
      <c r="K6" s="10"/>
      <c r="L6" s="13"/>
      <c r="M6" s="3"/>
      <c r="N6" s="16"/>
      <c r="O6" s="13">
        <v>4</v>
      </c>
      <c r="P6" s="11">
        <v>900</v>
      </c>
      <c r="Q6" s="11">
        <v>93000</v>
      </c>
      <c r="R6" s="10"/>
      <c r="S6" s="18"/>
      <c r="T6" s="10"/>
      <c r="U6" s="10"/>
      <c r="V6" s="10"/>
    </row>
    <row r="7" ht="16.5" spans="1:22">
      <c r="A7" s="10">
        <v>5</v>
      </c>
      <c r="B7" s="11">
        <v>1270</v>
      </c>
      <c r="C7" s="11">
        <f t="shared" si="1"/>
        <v>5740</v>
      </c>
      <c r="D7" s="12">
        <v>0.025</v>
      </c>
      <c r="E7" s="10"/>
      <c r="F7" s="13"/>
      <c r="G7" s="11">
        <v>55</v>
      </c>
      <c r="H7" s="11">
        <v>9350</v>
      </c>
      <c r="I7" s="11">
        <f t="shared" si="0"/>
        <v>234680</v>
      </c>
      <c r="J7" s="12">
        <v>0.115</v>
      </c>
      <c r="K7" s="10"/>
      <c r="L7" s="13"/>
      <c r="M7" s="3"/>
      <c r="N7" s="16"/>
      <c r="O7" s="13">
        <v>5</v>
      </c>
      <c r="P7" s="11">
        <v>1200</v>
      </c>
      <c r="Q7" s="11">
        <v>124200</v>
      </c>
      <c r="R7" s="10"/>
      <c r="S7" s="19"/>
      <c r="T7" s="10"/>
      <c r="U7" s="10"/>
      <c r="V7" s="10"/>
    </row>
    <row r="8" ht="16.5" spans="1:22">
      <c r="A8" s="10">
        <v>6</v>
      </c>
      <c r="B8" s="11">
        <v>1320</v>
      </c>
      <c r="C8" s="11">
        <f t="shared" si="1"/>
        <v>7060</v>
      </c>
      <c r="D8" s="12">
        <v>0.026</v>
      </c>
      <c r="E8" s="10"/>
      <c r="F8" s="13"/>
      <c r="G8" s="11">
        <v>56</v>
      </c>
      <c r="H8" s="11">
        <v>9630</v>
      </c>
      <c r="I8" s="11">
        <f t="shared" si="0"/>
        <v>244310</v>
      </c>
      <c r="J8" s="12">
        <v>0.116</v>
      </c>
      <c r="K8" s="10"/>
      <c r="L8" s="13"/>
      <c r="M8" s="3"/>
      <c r="N8" s="16"/>
      <c r="O8" s="13">
        <v>6</v>
      </c>
      <c r="P8" s="11">
        <v>1500</v>
      </c>
      <c r="Q8" s="11">
        <v>155400</v>
      </c>
      <c r="R8" s="10"/>
      <c r="S8" s="10" t="s">
        <v>11</v>
      </c>
      <c r="T8" s="10"/>
      <c r="U8" s="10"/>
      <c r="V8" s="10"/>
    </row>
    <row r="9" ht="16.5" spans="1:22">
      <c r="A9" s="10">
        <v>7</v>
      </c>
      <c r="B9" s="11">
        <v>1430</v>
      </c>
      <c r="C9" s="11">
        <f t="shared" si="1"/>
        <v>8490</v>
      </c>
      <c r="D9" s="12">
        <v>0.027</v>
      </c>
      <c r="E9" s="10"/>
      <c r="F9" s="13"/>
      <c r="G9" s="11">
        <v>57</v>
      </c>
      <c r="H9" s="11">
        <v>9900</v>
      </c>
      <c r="I9" s="11">
        <f t="shared" si="0"/>
        <v>254210</v>
      </c>
      <c r="J9" s="12">
        <v>0.117</v>
      </c>
      <c r="K9" s="10"/>
      <c r="L9" s="13"/>
      <c r="M9" s="3"/>
      <c r="N9" s="16"/>
      <c r="O9" s="13">
        <v>7</v>
      </c>
      <c r="P9" s="11">
        <v>1800</v>
      </c>
      <c r="Q9" s="11">
        <v>186600</v>
      </c>
      <c r="R9" s="10"/>
      <c r="S9" s="10"/>
      <c r="T9" s="10"/>
      <c r="U9" s="10"/>
      <c r="V9" s="10"/>
    </row>
    <row r="10" ht="16.5" spans="1:22">
      <c r="A10" s="10">
        <v>8</v>
      </c>
      <c r="B10" s="11">
        <v>1540</v>
      </c>
      <c r="C10" s="11">
        <f t="shared" si="1"/>
        <v>10030</v>
      </c>
      <c r="D10" s="12">
        <v>0.028</v>
      </c>
      <c r="E10" s="10"/>
      <c r="F10" s="13"/>
      <c r="G10" s="11">
        <v>58</v>
      </c>
      <c r="H10" s="11">
        <v>10180</v>
      </c>
      <c r="I10" s="11">
        <f t="shared" si="0"/>
        <v>264390</v>
      </c>
      <c r="J10" s="12">
        <v>0.118</v>
      </c>
      <c r="K10" s="10"/>
      <c r="L10" s="13"/>
      <c r="M10" s="3"/>
      <c r="N10" s="16"/>
      <c r="O10" s="13">
        <v>8</v>
      </c>
      <c r="P10" s="11">
        <v>2100</v>
      </c>
      <c r="Q10" s="11">
        <v>217200</v>
      </c>
      <c r="R10" s="10"/>
      <c r="S10" s="17">
        <f>SUM(Q4:Q12)</f>
        <v>1396800</v>
      </c>
      <c r="T10" s="10"/>
      <c r="U10" s="10"/>
      <c r="V10" s="10"/>
    </row>
    <row r="11" ht="16.5" spans="1:22">
      <c r="A11" s="10">
        <v>9</v>
      </c>
      <c r="B11" s="11">
        <v>1650</v>
      </c>
      <c r="C11" s="11">
        <f t="shared" si="1"/>
        <v>11680</v>
      </c>
      <c r="D11" s="12">
        <v>0.029</v>
      </c>
      <c r="E11" s="10"/>
      <c r="F11" s="13"/>
      <c r="G11" s="11">
        <v>59</v>
      </c>
      <c r="H11" s="11">
        <v>10450</v>
      </c>
      <c r="I11" s="11">
        <f t="shared" si="0"/>
        <v>274840</v>
      </c>
      <c r="J11" s="12">
        <v>0.119</v>
      </c>
      <c r="K11" s="10"/>
      <c r="L11" s="13"/>
      <c r="M11" s="3"/>
      <c r="N11" s="16"/>
      <c r="O11" s="13">
        <v>9</v>
      </c>
      <c r="P11" s="11">
        <v>2400</v>
      </c>
      <c r="Q11" s="11">
        <v>248400</v>
      </c>
      <c r="R11" s="10"/>
      <c r="S11" s="18"/>
      <c r="T11" s="10"/>
      <c r="U11" s="10"/>
      <c r="V11" s="10"/>
    </row>
    <row r="12" ht="16.5" spans="1:22">
      <c r="A12" s="10">
        <v>10</v>
      </c>
      <c r="B12" s="11">
        <v>1760</v>
      </c>
      <c r="C12" s="11">
        <f t="shared" si="1"/>
        <v>13440</v>
      </c>
      <c r="D12" s="12">
        <v>0.03</v>
      </c>
      <c r="E12" s="10"/>
      <c r="F12" s="13"/>
      <c r="G12" s="11">
        <v>60</v>
      </c>
      <c r="H12" s="11">
        <v>10730</v>
      </c>
      <c r="I12" s="11">
        <f t="shared" si="0"/>
        <v>285570</v>
      </c>
      <c r="J12" s="12">
        <v>0.12</v>
      </c>
      <c r="K12" s="10"/>
      <c r="L12" s="13"/>
      <c r="M12" s="3"/>
      <c r="N12" s="16"/>
      <c r="O12" s="13">
        <v>10</v>
      </c>
      <c r="P12" s="11">
        <v>2700</v>
      </c>
      <c r="Q12" s="11">
        <v>279600</v>
      </c>
      <c r="R12" s="10"/>
      <c r="S12" s="19"/>
      <c r="T12" s="10"/>
      <c r="U12" s="10"/>
      <c r="V12" s="10"/>
    </row>
    <row r="13" ht="16.5" spans="1:22">
      <c r="A13" s="10" t="s">
        <v>31</v>
      </c>
      <c r="B13" s="11"/>
      <c r="C13" s="11"/>
      <c r="D13" s="12">
        <v>0.038</v>
      </c>
      <c r="E13" s="10">
        <v>20</v>
      </c>
      <c r="F13" s="13" t="s">
        <v>32</v>
      </c>
      <c r="G13" s="11" t="s">
        <v>31</v>
      </c>
      <c r="H13" s="11"/>
      <c r="I13" s="11"/>
      <c r="J13" s="12">
        <v>0.128</v>
      </c>
      <c r="K13" s="10">
        <v>200</v>
      </c>
      <c r="L13" s="13" t="s">
        <v>33</v>
      </c>
      <c r="M13" s="3"/>
      <c r="N13" s="7" t="s">
        <v>8</v>
      </c>
      <c r="O13" s="20" t="s">
        <v>9</v>
      </c>
      <c r="P13" s="20" t="s">
        <v>10</v>
      </c>
      <c r="Q13" s="20" t="s">
        <v>11</v>
      </c>
      <c r="R13" s="20" t="s">
        <v>12</v>
      </c>
      <c r="S13" s="20" t="s">
        <v>13</v>
      </c>
      <c r="T13" s="20" t="s">
        <v>14</v>
      </c>
      <c r="U13" s="20"/>
      <c r="V13" s="20"/>
    </row>
    <row r="14" ht="16.5" spans="1:22">
      <c r="A14" s="10">
        <v>11</v>
      </c>
      <c r="B14" s="11">
        <v>1870</v>
      </c>
      <c r="C14" s="11">
        <f>B14+C12</f>
        <v>15310</v>
      </c>
      <c r="D14" s="12">
        <v>0.039</v>
      </c>
      <c r="E14" s="10"/>
      <c r="F14" s="13"/>
      <c r="G14" s="11">
        <v>61</v>
      </c>
      <c r="H14" s="11">
        <v>11000</v>
      </c>
      <c r="I14" s="11">
        <f>H14+I12</f>
        <v>296570</v>
      </c>
      <c r="J14" s="12">
        <v>0.129</v>
      </c>
      <c r="K14" s="10"/>
      <c r="L14" s="13"/>
      <c r="M14" s="3"/>
      <c r="N14" s="29" t="s">
        <v>303</v>
      </c>
      <c r="O14" s="13">
        <v>1</v>
      </c>
      <c r="P14" s="10"/>
      <c r="Q14" s="10"/>
      <c r="R14" s="10"/>
      <c r="S14" s="10" t="s">
        <v>10</v>
      </c>
      <c r="T14" s="54"/>
      <c r="U14" s="42"/>
      <c r="V14" s="43"/>
    </row>
    <row r="15" ht="16.5" spans="1:22">
      <c r="A15" s="10">
        <v>12</v>
      </c>
      <c r="B15" s="11">
        <v>1980</v>
      </c>
      <c r="C15" s="11">
        <f t="shared" ref="C15:C23" si="2">B15+C14</f>
        <v>17290</v>
      </c>
      <c r="D15" s="12">
        <v>0.04</v>
      </c>
      <c r="E15" s="10"/>
      <c r="F15" s="13"/>
      <c r="G15" s="11">
        <v>62</v>
      </c>
      <c r="H15" s="11">
        <v>11280</v>
      </c>
      <c r="I15" s="11">
        <f t="shared" ref="I15:I23" si="3">H15+I14</f>
        <v>307850</v>
      </c>
      <c r="J15" s="12">
        <v>0.13</v>
      </c>
      <c r="K15" s="10"/>
      <c r="L15" s="13"/>
      <c r="M15" s="3"/>
      <c r="N15" s="30"/>
      <c r="O15" s="13">
        <v>2</v>
      </c>
      <c r="P15" s="11">
        <v>500</v>
      </c>
      <c r="Q15" s="11">
        <v>86400</v>
      </c>
      <c r="R15" s="10"/>
      <c r="S15" s="10"/>
      <c r="T15" s="10"/>
      <c r="U15" s="10"/>
      <c r="V15" s="10"/>
    </row>
    <row r="16" ht="16.5" spans="1:22">
      <c r="A16" s="10">
        <v>13</v>
      </c>
      <c r="B16" s="11">
        <v>2090</v>
      </c>
      <c r="C16" s="11">
        <f t="shared" si="2"/>
        <v>19380</v>
      </c>
      <c r="D16" s="12">
        <v>0.041</v>
      </c>
      <c r="E16" s="10"/>
      <c r="F16" s="13"/>
      <c r="G16" s="11">
        <v>63</v>
      </c>
      <c r="H16" s="11">
        <v>11550</v>
      </c>
      <c r="I16" s="11">
        <f t="shared" si="3"/>
        <v>319400</v>
      </c>
      <c r="J16" s="12">
        <v>0.131</v>
      </c>
      <c r="K16" s="10"/>
      <c r="L16" s="13"/>
      <c r="M16" s="3"/>
      <c r="N16" s="30"/>
      <c r="O16" s="13">
        <v>3</v>
      </c>
      <c r="P16" s="11">
        <v>1000</v>
      </c>
      <c r="Q16" s="11">
        <v>172800</v>
      </c>
      <c r="R16" s="10"/>
      <c r="S16" s="10"/>
      <c r="T16" s="10"/>
      <c r="U16" s="10"/>
      <c r="V16" s="10"/>
    </row>
    <row r="17" ht="16.5" spans="1:22">
      <c r="A17" s="10">
        <v>14</v>
      </c>
      <c r="B17" s="11">
        <v>2200</v>
      </c>
      <c r="C17" s="11">
        <f t="shared" si="2"/>
        <v>21580</v>
      </c>
      <c r="D17" s="12">
        <v>0.042</v>
      </c>
      <c r="E17" s="10"/>
      <c r="F17" s="13"/>
      <c r="G17" s="11">
        <v>64</v>
      </c>
      <c r="H17" s="11">
        <v>11830</v>
      </c>
      <c r="I17" s="11">
        <f t="shared" si="3"/>
        <v>331230</v>
      </c>
      <c r="J17" s="12">
        <v>0.132</v>
      </c>
      <c r="K17" s="10"/>
      <c r="L17" s="13"/>
      <c r="M17" s="3"/>
      <c r="N17" s="30"/>
      <c r="O17" s="13">
        <v>4</v>
      </c>
      <c r="P17" s="11">
        <v>1500</v>
      </c>
      <c r="Q17" s="11">
        <v>259200</v>
      </c>
      <c r="R17" s="10"/>
      <c r="S17" s="10"/>
      <c r="T17" s="10"/>
      <c r="U17" s="10"/>
      <c r="V17" s="10"/>
    </row>
    <row r="18" ht="16.5" spans="1:22">
      <c r="A18" s="10">
        <v>15</v>
      </c>
      <c r="B18" s="11">
        <v>2310</v>
      </c>
      <c r="C18" s="11">
        <f t="shared" si="2"/>
        <v>23890</v>
      </c>
      <c r="D18" s="12">
        <v>0.043</v>
      </c>
      <c r="E18" s="10"/>
      <c r="F18" s="13"/>
      <c r="G18" s="11">
        <v>65</v>
      </c>
      <c r="H18" s="11">
        <v>12100</v>
      </c>
      <c r="I18" s="11">
        <f t="shared" si="3"/>
        <v>343330</v>
      </c>
      <c r="J18" s="12">
        <v>0.133</v>
      </c>
      <c r="K18" s="10"/>
      <c r="L18" s="13"/>
      <c r="M18" s="3"/>
      <c r="N18" s="30"/>
      <c r="O18" s="13">
        <v>5</v>
      </c>
      <c r="P18" s="11">
        <v>2000</v>
      </c>
      <c r="Q18" s="11">
        <v>345600</v>
      </c>
      <c r="R18" s="10"/>
      <c r="S18" s="10"/>
      <c r="T18" s="10"/>
      <c r="U18" s="10"/>
      <c r="V18" s="10"/>
    </row>
    <row r="19" ht="16.5" spans="1:22">
      <c r="A19" s="10">
        <v>16</v>
      </c>
      <c r="B19" s="11">
        <v>2420</v>
      </c>
      <c r="C19" s="11">
        <f t="shared" si="2"/>
        <v>26310</v>
      </c>
      <c r="D19" s="12">
        <v>0.044</v>
      </c>
      <c r="E19" s="10"/>
      <c r="F19" s="13"/>
      <c r="G19" s="11">
        <v>66</v>
      </c>
      <c r="H19" s="11">
        <v>12380</v>
      </c>
      <c r="I19" s="11">
        <f t="shared" si="3"/>
        <v>355710</v>
      </c>
      <c r="J19" s="12">
        <v>0.134</v>
      </c>
      <c r="K19" s="10"/>
      <c r="L19" s="13"/>
      <c r="M19" s="3"/>
      <c r="N19" s="30"/>
      <c r="O19" s="13">
        <v>6</v>
      </c>
      <c r="P19" s="11">
        <v>2500</v>
      </c>
      <c r="Q19" s="11">
        <v>432000</v>
      </c>
      <c r="R19" s="10"/>
      <c r="S19" s="17">
        <f>SUM(P15:P33)</f>
        <v>100000</v>
      </c>
      <c r="T19" s="10"/>
      <c r="U19" s="10"/>
      <c r="V19" s="10"/>
    </row>
    <row r="20" ht="16.5" spans="1:22">
      <c r="A20" s="10">
        <v>17</v>
      </c>
      <c r="B20" s="11">
        <v>2530</v>
      </c>
      <c r="C20" s="11">
        <f t="shared" si="2"/>
        <v>28840</v>
      </c>
      <c r="D20" s="12">
        <v>0.045</v>
      </c>
      <c r="E20" s="10"/>
      <c r="F20" s="13"/>
      <c r="G20" s="11">
        <v>67</v>
      </c>
      <c r="H20" s="11">
        <v>12650</v>
      </c>
      <c r="I20" s="11">
        <f t="shared" si="3"/>
        <v>368360</v>
      </c>
      <c r="J20" s="12">
        <v>0.135</v>
      </c>
      <c r="K20" s="10"/>
      <c r="L20" s="13"/>
      <c r="M20" s="3"/>
      <c r="N20" s="30"/>
      <c r="O20" s="13">
        <v>7</v>
      </c>
      <c r="P20" s="11">
        <v>3000</v>
      </c>
      <c r="Q20" s="11">
        <v>518400</v>
      </c>
      <c r="R20" s="10"/>
      <c r="S20" s="18"/>
      <c r="T20" s="10"/>
      <c r="U20" s="10"/>
      <c r="V20" s="10"/>
    </row>
    <row r="21" ht="16.5" spans="1:22">
      <c r="A21" s="10">
        <v>18</v>
      </c>
      <c r="B21" s="11">
        <v>2640</v>
      </c>
      <c r="C21" s="11">
        <f t="shared" si="2"/>
        <v>31480</v>
      </c>
      <c r="D21" s="12">
        <v>0.046</v>
      </c>
      <c r="E21" s="10"/>
      <c r="F21" s="13"/>
      <c r="G21" s="11">
        <v>68</v>
      </c>
      <c r="H21" s="11">
        <v>12930</v>
      </c>
      <c r="I21" s="11">
        <f t="shared" si="3"/>
        <v>381290</v>
      </c>
      <c r="J21" s="12">
        <v>0.136</v>
      </c>
      <c r="K21" s="10"/>
      <c r="L21" s="13"/>
      <c r="M21" s="3"/>
      <c r="N21" s="30"/>
      <c r="O21" s="13">
        <v>8</v>
      </c>
      <c r="P21" s="11">
        <v>3500</v>
      </c>
      <c r="Q21" s="11">
        <v>604800</v>
      </c>
      <c r="R21" s="10"/>
      <c r="S21" s="18"/>
      <c r="T21" s="10"/>
      <c r="U21" s="10"/>
      <c r="V21" s="10"/>
    </row>
    <row r="22" ht="16.5" spans="1:22">
      <c r="A22" s="10">
        <v>19</v>
      </c>
      <c r="B22" s="11">
        <v>2750</v>
      </c>
      <c r="C22" s="11">
        <f t="shared" si="2"/>
        <v>34230</v>
      </c>
      <c r="D22" s="12">
        <v>0.047</v>
      </c>
      <c r="E22" s="10"/>
      <c r="F22" s="13"/>
      <c r="G22" s="11">
        <v>69</v>
      </c>
      <c r="H22" s="11">
        <v>13200</v>
      </c>
      <c r="I22" s="11">
        <f t="shared" si="3"/>
        <v>394490</v>
      </c>
      <c r="J22" s="12">
        <v>0.137</v>
      </c>
      <c r="K22" s="10"/>
      <c r="L22" s="13"/>
      <c r="M22" s="3"/>
      <c r="N22" s="30"/>
      <c r="O22" s="13">
        <v>9</v>
      </c>
      <c r="P22" s="11">
        <v>4000</v>
      </c>
      <c r="Q22" s="11">
        <v>691200</v>
      </c>
      <c r="R22" s="10"/>
      <c r="S22" s="18"/>
      <c r="T22" s="10"/>
      <c r="U22" s="10"/>
      <c r="V22" s="10"/>
    </row>
    <row r="23" ht="16.5" spans="1:22">
      <c r="A23" s="10">
        <v>20</v>
      </c>
      <c r="B23" s="11">
        <v>2860</v>
      </c>
      <c r="C23" s="11">
        <f t="shared" si="2"/>
        <v>37090</v>
      </c>
      <c r="D23" s="12">
        <v>0.048</v>
      </c>
      <c r="E23" s="10"/>
      <c r="F23" s="13"/>
      <c r="G23" s="11">
        <v>70</v>
      </c>
      <c r="H23" s="11">
        <v>13480</v>
      </c>
      <c r="I23" s="11">
        <f t="shared" si="3"/>
        <v>407970</v>
      </c>
      <c r="J23" s="12">
        <v>0.138</v>
      </c>
      <c r="K23" s="10"/>
      <c r="L23" s="13"/>
      <c r="M23" s="3"/>
      <c r="N23" s="30"/>
      <c r="O23" s="13">
        <v>10</v>
      </c>
      <c r="P23" s="11">
        <v>4500</v>
      </c>
      <c r="Q23" s="11">
        <v>777600</v>
      </c>
      <c r="R23" s="10"/>
      <c r="S23" s="19"/>
      <c r="T23" s="10"/>
      <c r="U23" s="10"/>
      <c r="V23" s="10"/>
    </row>
    <row r="24" ht="16.5" spans="1:22">
      <c r="A24" s="10" t="s">
        <v>31</v>
      </c>
      <c r="B24" s="11"/>
      <c r="C24" s="11"/>
      <c r="D24" s="12">
        <v>0.056</v>
      </c>
      <c r="E24" s="10">
        <v>40</v>
      </c>
      <c r="F24" s="13" t="s">
        <v>48</v>
      </c>
      <c r="G24" s="11" t="s">
        <v>31</v>
      </c>
      <c r="H24" s="11"/>
      <c r="I24" s="11"/>
      <c r="J24" s="12">
        <v>0.146</v>
      </c>
      <c r="K24" s="10">
        <v>240</v>
      </c>
      <c r="L24" s="13" t="s">
        <v>49</v>
      </c>
      <c r="M24" s="3"/>
      <c r="N24" s="30"/>
      <c r="O24" s="13">
        <v>11</v>
      </c>
      <c r="P24" s="11">
        <v>5000</v>
      </c>
      <c r="Q24" s="11">
        <v>864000</v>
      </c>
      <c r="R24" s="10"/>
      <c r="S24" s="10" t="s">
        <v>11</v>
      </c>
      <c r="T24" s="10"/>
      <c r="U24" s="10"/>
      <c r="V24" s="10"/>
    </row>
    <row r="25" ht="16.5" spans="1:22">
      <c r="A25" s="10">
        <v>21</v>
      </c>
      <c r="B25" s="11">
        <v>2970</v>
      </c>
      <c r="C25" s="11">
        <f>B25+C23</f>
        <v>40060</v>
      </c>
      <c r="D25" s="12">
        <v>0.057</v>
      </c>
      <c r="E25" s="10"/>
      <c r="F25" s="13"/>
      <c r="G25" s="11">
        <v>71</v>
      </c>
      <c r="H25" s="11">
        <v>13750</v>
      </c>
      <c r="I25" s="11">
        <f>H25+I23</f>
        <v>421720</v>
      </c>
      <c r="J25" s="12">
        <v>0.147</v>
      </c>
      <c r="K25" s="10"/>
      <c r="L25" s="13"/>
      <c r="M25" s="3"/>
      <c r="N25" s="30"/>
      <c r="O25" s="13">
        <v>12</v>
      </c>
      <c r="P25" s="11">
        <v>5500</v>
      </c>
      <c r="Q25" s="11">
        <v>950400</v>
      </c>
      <c r="R25" s="10"/>
      <c r="S25" s="10"/>
      <c r="T25" s="10"/>
      <c r="U25" s="10"/>
      <c r="V25" s="10"/>
    </row>
    <row r="26" ht="16.5" spans="1:22">
      <c r="A26" s="10">
        <v>22</v>
      </c>
      <c r="B26" s="11">
        <v>3080</v>
      </c>
      <c r="C26" s="11">
        <f t="shared" ref="C26:C34" si="4">B26+C25</f>
        <v>43140</v>
      </c>
      <c r="D26" s="12">
        <v>0.058</v>
      </c>
      <c r="E26" s="10"/>
      <c r="F26" s="13"/>
      <c r="G26" s="11">
        <v>72</v>
      </c>
      <c r="H26" s="11">
        <v>14030</v>
      </c>
      <c r="I26" s="11">
        <f t="shared" ref="I26:I34" si="5">H26+I25</f>
        <v>435750</v>
      </c>
      <c r="J26" s="12">
        <v>0.148</v>
      </c>
      <c r="K26" s="10"/>
      <c r="L26" s="13"/>
      <c r="M26" s="3"/>
      <c r="N26" s="30"/>
      <c r="O26" s="13">
        <v>13</v>
      </c>
      <c r="P26" s="11">
        <v>6000</v>
      </c>
      <c r="Q26" s="11">
        <v>1036800</v>
      </c>
      <c r="R26" s="10"/>
      <c r="S26" s="10"/>
      <c r="T26" s="10"/>
      <c r="U26" s="10"/>
      <c r="V26" s="10"/>
    </row>
    <row r="27" ht="16.5" spans="1:22">
      <c r="A27" s="10">
        <v>23</v>
      </c>
      <c r="B27" s="11">
        <v>3190</v>
      </c>
      <c r="C27" s="11">
        <f t="shared" si="4"/>
        <v>46330</v>
      </c>
      <c r="D27" s="12">
        <v>0.059</v>
      </c>
      <c r="E27" s="10"/>
      <c r="F27" s="13"/>
      <c r="G27" s="11">
        <v>73</v>
      </c>
      <c r="H27" s="11">
        <v>14300</v>
      </c>
      <c r="I27" s="11">
        <f t="shared" si="5"/>
        <v>450050</v>
      </c>
      <c r="J27" s="12">
        <v>0.149</v>
      </c>
      <c r="K27" s="10"/>
      <c r="L27" s="13"/>
      <c r="M27" s="3"/>
      <c r="N27" s="30"/>
      <c r="O27" s="13">
        <v>14</v>
      </c>
      <c r="P27" s="11">
        <v>7000</v>
      </c>
      <c r="Q27" s="11">
        <v>1209600</v>
      </c>
      <c r="R27" s="10"/>
      <c r="S27" s="10"/>
      <c r="T27" s="10"/>
      <c r="U27" s="10"/>
      <c r="V27" s="10"/>
    </row>
    <row r="28" ht="16.5" spans="1:22">
      <c r="A28" s="10">
        <v>24</v>
      </c>
      <c r="B28" s="11">
        <v>3300</v>
      </c>
      <c r="C28" s="11">
        <f t="shared" si="4"/>
        <v>49630</v>
      </c>
      <c r="D28" s="12">
        <v>0.06</v>
      </c>
      <c r="E28" s="10"/>
      <c r="F28" s="13"/>
      <c r="G28" s="11">
        <v>74</v>
      </c>
      <c r="H28" s="11">
        <v>14580</v>
      </c>
      <c r="I28" s="11">
        <f t="shared" si="5"/>
        <v>464630</v>
      </c>
      <c r="J28" s="12">
        <v>0.15</v>
      </c>
      <c r="K28" s="10"/>
      <c r="L28" s="13"/>
      <c r="M28" s="3"/>
      <c r="N28" s="30"/>
      <c r="O28" s="13">
        <v>15</v>
      </c>
      <c r="P28" s="11">
        <v>8000</v>
      </c>
      <c r="Q28" s="11">
        <v>1382400</v>
      </c>
      <c r="R28" s="10"/>
      <c r="S28" s="10"/>
      <c r="T28" s="10"/>
      <c r="U28" s="10"/>
      <c r="V28" s="10"/>
    </row>
    <row r="29" ht="16.5" spans="1:22">
      <c r="A29" s="10">
        <v>25</v>
      </c>
      <c r="B29" s="11">
        <v>3410</v>
      </c>
      <c r="C29" s="11">
        <f t="shared" si="4"/>
        <v>53040</v>
      </c>
      <c r="D29" s="12">
        <v>0.061</v>
      </c>
      <c r="E29" s="10"/>
      <c r="F29" s="13"/>
      <c r="G29" s="11">
        <v>75</v>
      </c>
      <c r="H29" s="11">
        <v>14850</v>
      </c>
      <c r="I29" s="11">
        <f t="shared" si="5"/>
        <v>479480</v>
      </c>
      <c r="J29" s="12">
        <v>0.151</v>
      </c>
      <c r="K29" s="10"/>
      <c r="L29" s="13"/>
      <c r="M29" s="3"/>
      <c r="N29" s="30"/>
      <c r="O29" s="13">
        <v>16</v>
      </c>
      <c r="P29" s="11">
        <v>8000</v>
      </c>
      <c r="Q29" s="11">
        <v>1382400</v>
      </c>
      <c r="R29" s="10"/>
      <c r="S29" s="17">
        <f>SUM(Q15:Q33)</f>
        <v>17280000</v>
      </c>
      <c r="T29" s="10"/>
      <c r="U29" s="10"/>
      <c r="V29" s="10"/>
    </row>
    <row r="30" ht="16.5" spans="1:22">
      <c r="A30" s="10">
        <v>26</v>
      </c>
      <c r="B30" s="11">
        <v>3520</v>
      </c>
      <c r="C30" s="11">
        <f t="shared" si="4"/>
        <v>56560</v>
      </c>
      <c r="D30" s="12">
        <v>0.062</v>
      </c>
      <c r="E30" s="10"/>
      <c r="F30" s="13"/>
      <c r="G30" s="11">
        <v>76</v>
      </c>
      <c r="H30" s="11">
        <v>15130</v>
      </c>
      <c r="I30" s="11">
        <f t="shared" si="5"/>
        <v>494610</v>
      </c>
      <c r="J30" s="12">
        <v>0.152</v>
      </c>
      <c r="K30" s="10"/>
      <c r="L30" s="13"/>
      <c r="M30" s="3"/>
      <c r="N30" s="30"/>
      <c r="O30" s="13">
        <v>17</v>
      </c>
      <c r="P30" s="11">
        <v>9000</v>
      </c>
      <c r="Q30" s="11">
        <v>1555200</v>
      </c>
      <c r="R30" s="10"/>
      <c r="S30" s="18"/>
      <c r="T30" s="10"/>
      <c r="U30" s="10"/>
      <c r="V30" s="10"/>
    </row>
    <row r="31" ht="16.5" spans="1:22">
      <c r="A31" s="10">
        <v>27</v>
      </c>
      <c r="B31" s="11">
        <v>3630</v>
      </c>
      <c r="C31" s="11">
        <f t="shared" si="4"/>
        <v>60190</v>
      </c>
      <c r="D31" s="12">
        <v>0.063</v>
      </c>
      <c r="E31" s="10"/>
      <c r="F31" s="13"/>
      <c r="G31" s="11">
        <v>77</v>
      </c>
      <c r="H31" s="11">
        <v>15400</v>
      </c>
      <c r="I31" s="11">
        <f t="shared" si="5"/>
        <v>510010</v>
      </c>
      <c r="J31" s="12">
        <v>0.153</v>
      </c>
      <c r="K31" s="10"/>
      <c r="L31" s="13"/>
      <c r="M31" s="3"/>
      <c r="N31" s="30"/>
      <c r="O31" s="13">
        <v>18</v>
      </c>
      <c r="P31" s="11">
        <v>9000</v>
      </c>
      <c r="Q31" s="11">
        <v>1555200</v>
      </c>
      <c r="R31" s="10"/>
      <c r="S31" s="18"/>
      <c r="T31" s="10"/>
      <c r="U31" s="10"/>
      <c r="V31" s="10"/>
    </row>
    <row r="32" ht="16.5" spans="1:22">
      <c r="A32" s="10">
        <v>28</v>
      </c>
      <c r="B32" s="11">
        <v>3740</v>
      </c>
      <c r="C32" s="11">
        <f t="shared" si="4"/>
        <v>63930</v>
      </c>
      <c r="D32" s="12">
        <v>0.064</v>
      </c>
      <c r="E32" s="10"/>
      <c r="F32" s="13"/>
      <c r="G32" s="11">
        <v>78</v>
      </c>
      <c r="H32" s="11">
        <v>15680</v>
      </c>
      <c r="I32" s="11">
        <f t="shared" si="5"/>
        <v>525690</v>
      </c>
      <c r="J32" s="12">
        <v>0.154</v>
      </c>
      <c r="K32" s="10"/>
      <c r="L32" s="13"/>
      <c r="M32" s="3"/>
      <c r="N32" s="30"/>
      <c r="O32" s="13">
        <v>19</v>
      </c>
      <c r="P32" s="11">
        <v>10000</v>
      </c>
      <c r="Q32" s="11">
        <v>1728000</v>
      </c>
      <c r="R32" s="10"/>
      <c r="S32" s="18"/>
      <c r="T32" s="10"/>
      <c r="U32" s="10"/>
      <c r="V32" s="10"/>
    </row>
    <row r="33" ht="16.5" spans="1:22">
      <c r="A33" s="10">
        <v>29</v>
      </c>
      <c r="B33" s="11">
        <v>3850</v>
      </c>
      <c r="C33" s="11">
        <f t="shared" si="4"/>
        <v>67780</v>
      </c>
      <c r="D33" s="12">
        <v>0.0649999999999999</v>
      </c>
      <c r="E33" s="10"/>
      <c r="F33" s="13"/>
      <c r="G33" s="11">
        <v>79</v>
      </c>
      <c r="H33" s="11">
        <v>15950</v>
      </c>
      <c r="I33" s="11">
        <f t="shared" si="5"/>
        <v>541640</v>
      </c>
      <c r="J33" s="12">
        <v>0.155</v>
      </c>
      <c r="K33" s="10"/>
      <c r="L33" s="13"/>
      <c r="M33" s="3"/>
      <c r="N33" s="36"/>
      <c r="O33" s="13">
        <v>20</v>
      </c>
      <c r="P33" s="11">
        <v>10000</v>
      </c>
      <c r="Q33" s="11">
        <v>1728000</v>
      </c>
      <c r="R33" s="10"/>
      <c r="S33" s="19"/>
      <c r="T33" s="10"/>
      <c r="U33" s="10"/>
      <c r="V33" s="10"/>
    </row>
    <row r="34" ht="16.5" spans="1:22">
      <c r="A34" s="10">
        <v>30</v>
      </c>
      <c r="B34" s="11">
        <v>4020</v>
      </c>
      <c r="C34" s="11">
        <f t="shared" si="4"/>
        <v>71800</v>
      </c>
      <c r="D34" s="12">
        <v>0.0659999999999999</v>
      </c>
      <c r="E34" s="10"/>
      <c r="F34" s="13"/>
      <c r="G34" s="11">
        <v>80</v>
      </c>
      <c r="H34" s="11">
        <v>16230</v>
      </c>
      <c r="I34" s="11">
        <f t="shared" si="5"/>
        <v>557870</v>
      </c>
      <c r="J34" s="12">
        <v>0.156</v>
      </c>
      <c r="K34" s="10"/>
      <c r="L34" s="13"/>
      <c r="M34" s="3"/>
      <c r="N34" s="7" t="s">
        <v>8</v>
      </c>
      <c r="O34" s="20" t="s">
        <v>9</v>
      </c>
      <c r="P34" s="20" t="s">
        <v>10</v>
      </c>
      <c r="Q34" s="20" t="s">
        <v>11</v>
      </c>
      <c r="R34" s="20" t="s">
        <v>12</v>
      </c>
      <c r="S34" s="20" t="s">
        <v>13</v>
      </c>
      <c r="T34" s="20" t="s">
        <v>14</v>
      </c>
      <c r="U34" s="20"/>
      <c r="V34" s="20"/>
    </row>
    <row r="35" ht="16.5" spans="1:22">
      <c r="A35" s="10" t="s">
        <v>31</v>
      </c>
      <c r="B35" s="11"/>
      <c r="C35" s="11"/>
      <c r="D35" s="12">
        <v>0.074</v>
      </c>
      <c r="E35" s="10">
        <v>80</v>
      </c>
      <c r="F35" s="13" t="s">
        <v>64</v>
      </c>
      <c r="G35" s="11" t="s">
        <v>31</v>
      </c>
      <c r="H35" s="11"/>
      <c r="I35" s="11"/>
      <c r="J35" s="12">
        <v>0.164</v>
      </c>
      <c r="K35" s="10">
        <v>280</v>
      </c>
      <c r="L35" s="13" t="s">
        <v>65</v>
      </c>
      <c r="M35" s="3"/>
      <c r="N35" s="29" t="s">
        <v>304</v>
      </c>
      <c r="O35" s="13">
        <v>1</v>
      </c>
      <c r="P35" s="10"/>
      <c r="Q35" s="10"/>
      <c r="R35" s="10"/>
      <c r="S35" s="10" t="s">
        <v>10</v>
      </c>
      <c r="T35" s="54"/>
      <c r="U35" s="42"/>
      <c r="V35" s="43"/>
    </row>
    <row r="36" ht="16.5" spans="1:22">
      <c r="A36" s="10">
        <v>31</v>
      </c>
      <c r="B36" s="11">
        <v>4180</v>
      </c>
      <c r="C36" s="11">
        <f>B36+C34</f>
        <v>75980</v>
      </c>
      <c r="D36" s="12">
        <v>0.075</v>
      </c>
      <c r="E36" s="10"/>
      <c r="F36" s="13"/>
      <c r="G36" s="11">
        <v>81</v>
      </c>
      <c r="H36" s="11">
        <v>16500</v>
      </c>
      <c r="I36" s="11">
        <f>H36+I34</f>
        <v>574370</v>
      </c>
      <c r="J36" s="12">
        <v>0.165</v>
      </c>
      <c r="K36" s="10"/>
      <c r="L36" s="13"/>
      <c r="M36" s="3"/>
      <c r="N36" s="30"/>
      <c r="O36" s="13">
        <v>2</v>
      </c>
      <c r="P36" s="11">
        <v>800</v>
      </c>
      <c r="Q36" s="11">
        <v>159000</v>
      </c>
      <c r="R36" s="10"/>
      <c r="S36" s="10"/>
      <c r="T36" s="10"/>
      <c r="U36" s="10"/>
      <c r="V36" s="10"/>
    </row>
    <row r="37" ht="16.5" spans="1:22">
      <c r="A37" s="10">
        <v>32</v>
      </c>
      <c r="B37" s="11">
        <v>4350</v>
      </c>
      <c r="C37" s="11">
        <f t="shared" ref="C37:C45" si="6">B37+C36</f>
        <v>80330</v>
      </c>
      <c r="D37" s="12">
        <v>0.076</v>
      </c>
      <c r="E37" s="10"/>
      <c r="F37" s="13"/>
      <c r="G37" s="11">
        <v>82</v>
      </c>
      <c r="H37" s="11">
        <v>16780</v>
      </c>
      <c r="I37" s="11">
        <f t="shared" ref="I37:I45" si="7">H37+I36</f>
        <v>591150</v>
      </c>
      <c r="J37" s="12">
        <v>0.166</v>
      </c>
      <c r="K37" s="10"/>
      <c r="L37" s="13"/>
      <c r="M37" s="3"/>
      <c r="N37" s="30"/>
      <c r="O37" s="13">
        <v>3</v>
      </c>
      <c r="P37" s="11">
        <v>1500</v>
      </c>
      <c r="Q37" s="11">
        <v>297600</v>
      </c>
      <c r="R37" s="10"/>
      <c r="S37" s="10"/>
      <c r="T37" s="10"/>
      <c r="U37" s="10"/>
      <c r="V37" s="10"/>
    </row>
    <row r="38" ht="16.5" spans="1:22">
      <c r="A38" s="10">
        <v>33</v>
      </c>
      <c r="B38" s="11">
        <v>4510</v>
      </c>
      <c r="C38" s="11">
        <f t="shared" si="6"/>
        <v>84840</v>
      </c>
      <c r="D38" s="12">
        <v>0.077</v>
      </c>
      <c r="E38" s="10"/>
      <c r="F38" s="13"/>
      <c r="G38" s="11">
        <v>83</v>
      </c>
      <c r="H38" s="11">
        <v>17050</v>
      </c>
      <c r="I38" s="11">
        <f t="shared" si="7"/>
        <v>608200</v>
      </c>
      <c r="J38" s="12">
        <v>0.167</v>
      </c>
      <c r="K38" s="10"/>
      <c r="L38" s="13"/>
      <c r="M38" s="3"/>
      <c r="N38" s="30"/>
      <c r="O38" s="13">
        <v>4</v>
      </c>
      <c r="P38" s="11">
        <v>2200</v>
      </c>
      <c r="Q38" s="11">
        <v>436800</v>
      </c>
      <c r="R38" s="10"/>
      <c r="S38" s="10"/>
      <c r="T38" s="10"/>
      <c r="U38" s="10"/>
      <c r="V38" s="10"/>
    </row>
    <row r="39" ht="16.5" spans="1:22">
      <c r="A39" s="10">
        <v>34</v>
      </c>
      <c r="B39" s="11">
        <v>4680</v>
      </c>
      <c r="C39" s="11">
        <f t="shared" si="6"/>
        <v>89520</v>
      </c>
      <c r="D39" s="12">
        <v>0.078</v>
      </c>
      <c r="E39" s="10"/>
      <c r="F39" s="13"/>
      <c r="G39" s="11">
        <v>84</v>
      </c>
      <c r="H39" s="11">
        <v>17330</v>
      </c>
      <c r="I39" s="11">
        <f t="shared" si="7"/>
        <v>625530</v>
      </c>
      <c r="J39" s="12">
        <v>0.168</v>
      </c>
      <c r="K39" s="10"/>
      <c r="L39" s="13"/>
      <c r="M39" s="3"/>
      <c r="N39" s="30"/>
      <c r="O39" s="13">
        <v>5</v>
      </c>
      <c r="P39" s="11">
        <v>3000</v>
      </c>
      <c r="Q39" s="11">
        <v>595800</v>
      </c>
      <c r="R39" s="10"/>
      <c r="S39" s="10"/>
      <c r="T39" s="10"/>
      <c r="U39" s="10"/>
      <c r="V39" s="10"/>
    </row>
    <row r="40" ht="16.5" spans="1:22">
      <c r="A40" s="10">
        <v>35</v>
      </c>
      <c r="B40" s="11">
        <v>4840</v>
      </c>
      <c r="C40" s="11">
        <f t="shared" si="6"/>
        <v>94360</v>
      </c>
      <c r="D40" s="12">
        <v>0.079</v>
      </c>
      <c r="E40" s="10"/>
      <c r="F40" s="13"/>
      <c r="G40" s="11">
        <v>85</v>
      </c>
      <c r="H40" s="11">
        <v>17600</v>
      </c>
      <c r="I40" s="11">
        <f t="shared" si="7"/>
        <v>643130</v>
      </c>
      <c r="J40" s="12">
        <v>0.169</v>
      </c>
      <c r="K40" s="10"/>
      <c r="L40" s="13"/>
      <c r="M40" s="3"/>
      <c r="N40" s="30"/>
      <c r="O40" s="13">
        <v>6</v>
      </c>
      <c r="P40" s="11">
        <v>3800</v>
      </c>
      <c r="Q40" s="11">
        <v>754800</v>
      </c>
      <c r="R40" s="10"/>
      <c r="S40" s="17">
        <f>SUM(P36:P54)</f>
        <v>150000</v>
      </c>
      <c r="T40" s="10"/>
      <c r="U40" s="10"/>
      <c r="V40" s="10"/>
    </row>
    <row r="41" ht="16.5" spans="1:22">
      <c r="A41" s="10">
        <v>36</v>
      </c>
      <c r="B41" s="11">
        <v>5010</v>
      </c>
      <c r="C41" s="11">
        <f t="shared" si="6"/>
        <v>99370</v>
      </c>
      <c r="D41" s="12">
        <v>0.08</v>
      </c>
      <c r="E41" s="10"/>
      <c r="F41" s="13"/>
      <c r="G41" s="11">
        <v>86</v>
      </c>
      <c r="H41" s="11">
        <v>17880</v>
      </c>
      <c r="I41" s="11">
        <f t="shared" si="7"/>
        <v>661010</v>
      </c>
      <c r="J41" s="12">
        <v>0.17</v>
      </c>
      <c r="K41" s="10"/>
      <c r="L41" s="13"/>
      <c r="M41" s="3"/>
      <c r="N41" s="30"/>
      <c r="O41" s="13">
        <v>7</v>
      </c>
      <c r="P41" s="11">
        <v>4500</v>
      </c>
      <c r="Q41" s="11">
        <v>894000</v>
      </c>
      <c r="R41" s="10"/>
      <c r="S41" s="18"/>
      <c r="T41" s="10"/>
      <c r="U41" s="10"/>
      <c r="V41" s="10"/>
    </row>
    <row r="42" ht="16.5" spans="1:22">
      <c r="A42" s="10">
        <v>37</v>
      </c>
      <c r="B42" s="11">
        <v>5170</v>
      </c>
      <c r="C42" s="11">
        <f t="shared" si="6"/>
        <v>104540</v>
      </c>
      <c r="D42" s="12">
        <v>0.081</v>
      </c>
      <c r="E42" s="10"/>
      <c r="F42" s="13"/>
      <c r="G42" s="11">
        <v>87</v>
      </c>
      <c r="H42" s="11">
        <v>18150</v>
      </c>
      <c r="I42" s="11">
        <f t="shared" si="7"/>
        <v>679160</v>
      </c>
      <c r="J42" s="12">
        <v>0.171</v>
      </c>
      <c r="K42" s="10"/>
      <c r="L42" s="13"/>
      <c r="M42" s="3"/>
      <c r="N42" s="30"/>
      <c r="O42" s="13">
        <v>8</v>
      </c>
      <c r="P42" s="11">
        <v>5200</v>
      </c>
      <c r="Q42" s="11">
        <v>1033200</v>
      </c>
      <c r="R42" s="10"/>
      <c r="S42" s="18"/>
      <c r="T42" s="10"/>
      <c r="U42" s="10"/>
      <c r="V42" s="10"/>
    </row>
    <row r="43" ht="16.5" spans="1:22">
      <c r="A43" s="10">
        <v>38</v>
      </c>
      <c r="B43" s="11">
        <v>5500</v>
      </c>
      <c r="C43" s="11">
        <f t="shared" si="6"/>
        <v>110040</v>
      </c>
      <c r="D43" s="12">
        <v>0.082</v>
      </c>
      <c r="E43" s="10"/>
      <c r="F43" s="13"/>
      <c r="G43" s="11">
        <v>88</v>
      </c>
      <c r="H43" s="11">
        <v>18430</v>
      </c>
      <c r="I43" s="11">
        <f t="shared" si="7"/>
        <v>697590</v>
      </c>
      <c r="J43" s="12">
        <v>0.172</v>
      </c>
      <c r="K43" s="10"/>
      <c r="L43" s="13"/>
      <c r="M43" s="3"/>
      <c r="N43" s="30"/>
      <c r="O43" s="13">
        <v>9</v>
      </c>
      <c r="P43" s="11">
        <v>6000</v>
      </c>
      <c r="Q43" s="11">
        <v>1192200</v>
      </c>
      <c r="R43" s="10"/>
      <c r="S43" s="18"/>
      <c r="T43" s="10"/>
      <c r="U43" s="10"/>
      <c r="V43" s="10"/>
    </row>
    <row r="44" ht="16.5" spans="1:22">
      <c r="A44" s="10">
        <v>39</v>
      </c>
      <c r="B44" s="11">
        <v>5550</v>
      </c>
      <c r="C44" s="11">
        <f t="shared" si="6"/>
        <v>115590</v>
      </c>
      <c r="D44" s="12">
        <v>0.083</v>
      </c>
      <c r="E44" s="10"/>
      <c r="F44" s="13"/>
      <c r="G44" s="11">
        <v>89</v>
      </c>
      <c r="H44" s="11">
        <v>18700</v>
      </c>
      <c r="I44" s="11">
        <f t="shared" si="7"/>
        <v>716290</v>
      </c>
      <c r="J44" s="12">
        <v>0.173</v>
      </c>
      <c r="K44" s="10"/>
      <c r="L44" s="13"/>
      <c r="M44" s="3"/>
      <c r="N44" s="30"/>
      <c r="O44" s="13">
        <v>10</v>
      </c>
      <c r="P44" s="11">
        <v>6800</v>
      </c>
      <c r="Q44" s="11">
        <v>1351200</v>
      </c>
      <c r="R44" s="10"/>
      <c r="S44" s="19"/>
      <c r="T44" s="10"/>
      <c r="U44" s="10"/>
      <c r="V44" s="10"/>
    </row>
    <row r="45" ht="16.5" spans="1:22">
      <c r="A45" s="10">
        <v>40</v>
      </c>
      <c r="B45" s="11">
        <v>5720</v>
      </c>
      <c r="C45" s="11">
        <f t="shared" si="6"/>
        <v>121310</v>
      </c>
      <c r="D45" s="12">
        <v>0.084</v>
      </c>
      <c r="E45" s="10"/>
      <c r="F45" s="13"/>
      <c r="G45" s="11">
        <v>90</v>
      </c>
      <c r="H45" s="11">
        <v>18980</v>
      </c>
      <c r="I45" s="11">
        <f t="shared" si="7"/>
        <v>735270</v>
      </c>
      <c r="J45" s="12">
        <v>0.174</v>
      </c>
      <c r="K45" s="10"/>
      <c r="L45" s="13"/>
      <c r="M45" s="3"/>
      <c r="N45" s="30"/>
      <c r="O45" s="13">
        <v>11</v>
      </c>
      <c r="P45" s="11">
        <v>7500</v>
      </c>
      <c r="Q45" s="11">
        <v>1490400</v>
      </c>
      <c r="R45" s="10"/>
      <c r="S45" s="10" t="s">
        <v>11</v>
      </c>
      <c r="T45" s="10"/>
      <c r="U45" s="10"/>
      <c r="V45" s="10"/>
    </row>
    <row r="46" ht="16.5" spans="1:22">
      <c r="A46" s="10" t="s">
        <v>31</v>
      </c>
      <c r="B46" s="11"/>
      <c r="C46" s="11"/>
      <c r="D46" s="12">
        <v>0.092</v>
      </c>
      <c r="E46" s="10">
        <v>120</v>
      </c>
      <c r="F46" s="13" t="s">
        <v>80</v>
      </c>
      <c r="G46" s="11" t="s">
        <v>31</v>
      </c>
      <c r="H46" s="11"/>
      <c r="I46" s="11"/>
      <c r="J46" s="12">
        <v>0.182</v>
      </c>
      <c r="K46" s="10">
        <v>320</v>
      </c>
      <c r="L46" s="13" t="s">
        <v>81</v>
      </c>
      <c r="M46" s="3"/>
      <c r="N46" s="30"/>
      <c r="O46" s="13">
        <v>12</v>
      </c>
      <c r="P46" s="11">
        <v>8200</v>
      </c>
      <c r="Q46" s="11">
        <v>1629000</v>
      </c>
      <c r="R46" s="10"/>
      <c r="S46" s="10"/>
      <c r="T46" s="10"/>
      <c r="U46" s="10"/>
      <c r="V46" s="10"/>
    </row>
    <row r="47" ht="16.5" spans="1:22">
      <c r="A47" s="10">
        <v>41</v>
      </c>
      <c r="B47" s="11">
        <v>5940</v>
      </c>
      <c r="C47" s="11">
        <f>B47+C45</f>
        <v>127250</v>
      </c>
      <c r="D47" s="12">
        <v>0.093</v>
      </c>
      <c r="E47" s="10"/>
      <c r="F47" s="13"/>
      <c r="G47" s="11">
        <v>91</v>
      </c>
      <c r="H47" s="11">
        <v>19250</v>
      </c>
      <c r="I47" s="11">
        <f>H47+I45</f>
        <v>754520</v>
      </c>
      <c r="J47" s="12">
        <v>0.183</v>
      </c>
      <c r="K47" s="10"/>
      <c r="L47" s="13"/>
      <c r="M47" s="3"/>
      <c r="N47" s="30"/>
      <c r="O47" s="13">
        <v>13</v>
      </c>
      <c r="P47" s="11">
        <v>9000</v>
      </c>
      <c r="Q47" s="11">
        <v>1788000</v>
      </c>
      <c r="R47" s="10"/>
      <c r="S47" s="10"/>
      <c r="T47" s="10"/>
      <c r="U47" s="10"/>
      <c r="V47" s="10"/>
    </row>
    <row r="48" ht="16.5" spans="1:22">
      <c r="A48" s="10">
        <v>42</v>
      </c>
      <c r="B48" s="11">
        <v>6160</v>
      </c>
      <c r="C48" s="11">
        <f t="shared" ref="C48:C56" si="8">B48+C47</f>
        <v>133410</v>
      </c>
      <c r="D48" s="12">
        <v>0.094</v>
      </c>
      <c r="E48" s="10"/>
      <c r="F48" s="13"/>
      <c r="G48" s="11">
        <v>92</v>
      </c>
      <c r="H48" s="11">
        <v>19530</v>
      </c>
      <c r="I48" s="11">
        <f t="shared" ref="I48:I56" si="9">H48+I47</f>
        <v>774050</v>
      </c>
      <c r="J48" s="12">
        <v>0.184</v>
      </c>
      <c r="K48" s="10"/>
      <c r="L48" s="13"/>
      <c r="M48" s="3"/>
      <c r="N48" s="30"/>
      <c r="O48" s="13">
        <v>14</v>
      </c>
      <c r="P48" s="11">
        <v>10500</v>
      </c>
      <c r="Q48" s="11">
        <v>2086200</v>
      </c>
      <c r="R48" s="10"/>
      <c r="S48" s="10"/>
      <c r="T48" s="10"/>
      <c r="U48" s="10"/>
      <c r="V48" s="10"/>
    </row>
    <row r="49" ht="16.5" spans="1:22">
      <c r="A49" s="10">
        <v>43</v>
      </c>
      <c r="B49" s="11">
        <v>6380</v>
      </c>
      <c r="C49" s="11">
        <f t="shared" si="8"/>
        <v>139790</v>
      </c>
      <c r="D49" s="12">
        <v>0.095</v>
      </c>
      <c r="E49" s="10"/>
      <c r="F49" s="13"/>
      <c r="G49" s="11">
        <v>93</v>
      </c>
      <c r="H49" s="11">
        <v>19800</v>
      </c>
      <c r="I49" s="11">
        <f t="shared" si="9"/>
        <v>793850</v>
      </c>
      <c r="J49" s="12">
        <v>0.185</v>
      </c>
      <c r="K49" s="10"/>
      <c r="L49" s="13"/>
      <c r="M49" s="3"/>
      <c r="N49" s="30"/>
      <c r="O49" s="13">
        <v>15</v>
      </c>
      <c r="P49" s="11">
        <v>12000</v>
      </c>
      <c r="Q49" s="11">
        <v>2384400</v>
      </c>
      <c r="R49" s="10"/>
      <c r="S49" s="10"/>
      <c r="T49" s="10"/>
      <c r="U49" s="10"/>
      <c r="V49" s="10"/>
    </row>
    <row r="50" ht="16.5" spans="1:22">
      <c r="A50" s="10">
        <v>44</v>
      </c>
      <c r="B50" s="11">
        <v>6600</v>
      </c>
      <c r="C50" s="11">
        <f t="shared" si="8"/>
        <v>146390</v>
      </c>
      <c r="D50" s="12">
        <v>0.096</v>
      </c>
      <c r="E50" s="10"/>
      <c r="F50" s="13"/>
      <c r="G50" s="11">
        <v>94</v>
      </c>
      <c r="H50" s="11">
        <v>20080</v>
      </c>
      <c r="I50" s="11">
        <f t="shared" si="9"/>
        <v>813930</v>
      </c>
      <c r="J50" s="12">
        <v>0.186</v>
      </c>
      <c r="K50" s="10"/>
      <c r="L50" s="13"/>
      <c r="M50" s="3"/>
      <c r="N50" s="30"/>
      <c r="O50" s="13">
        <v>16</v>
      </c>
      <c r="P50" s="11">
        <v>12000</v>
      </c>
      <c r="Q50" s="11">
        <v>2384400</v>
      </c>
      <c r="R50" s="10"/>
      <c r="S50" s="17">
        <f>SUM(Q36:Q54)</f>
        <v>29803800</v>
      </c>
      <c r="T50" s="10"/>
      <c r="U50" s="10"/>
      <c r="V50" s="10"/>
    </row>
    <row r="51" ht="16.5" spans="1:22">
      <c r="A51" s="10">
        <v>45</v>
      </c>
      <c r="B51" s="11">
        <v>6820</v>
      </c>
      <c r="C51" s="11">
        <f t="shared" si="8"/>
        <v>153210</v>
      </c>
      <c r="D51" s="12">
        <v>0.097</v>
      </c>
      <c r="E51" s="10"/>
      <c r="F51" s="13"/>
      <c r="G51" s="11">
        <v>95</v>
      </c>
      <c r="H51" s="11">
        <v>20350</v>
      </c>
      <c r="I51" s="11">
        <f t="shared" si="9"/>
        <v>834280</v>
      </c>
      <c r="J51" s="12">
        <v>0.187</v>
      </c>
      <c r="K51" s="10"/>
      <c r="L51" s="13"/>
      <c r="M51" s="3"/>
      <c r="N51" s="30"/>
      <c r="O51" s="13">
        <v>17</v>
      </c>
      <c r="P51" s="11">
        <v>13500</v>
      </c>
      <c r="Q51" s="11">
        <v>2682600</v>
      </c>
      <c r="R51" s="10"/>
      <c r="S51" s="18"/>
      <c r="T51" s="10"/>
      <c r="U51" s="10"/>
      <c r="V51" s="10"/>
    </row>
    <row r="52" ht="16.5" spans="1:22">
      <c r="A52" s="10">
        <v>46</v>
      </c>
      <c r="B52" s="11">
        <v>7040</v>
      </c>
      <c r="C52" s="11">
        <f t="shared" si="8"/>
        <v>160250</v>
      </c>
      <c r="D52" s="12">
        <v>0.098</v>
      </c>
      <c r="E52" s="10"/>
      <c r="F52" s="13"/>
      <c r="G52" s="11">
        <v>96</v>
      </c>
      <c r="H52" s="11">
        <v>20630</v>
      </c>
      <c r="I52" s="11">
        <f t="shared" si="9"/>
        <v>854910</v>
      </c>
      <c r="J52" s="12">
        <v>0.188</v>
      </c>
      <c r="K52" s="10"/>
      <c r="L52" s="13"/>
      <c r="M52" s="3"/>
      <c r="N52" s="30"/>
      <c r="O52" s="13">
        <v>18</v>
      </c>
      <c r="P52" s="11">
        <v>13500</v>
      </c>
      <c r="Q52" s="11">
        <v>2682600</v>
      </c>
      <c r="R52" s="10"/>
      <c r="S52" s="18"/>
      <c r="T52" s="10"/>
      <c r="U52" s="10"/>
      <c r="V52" s="10"/>
    </row>
    <row r="53" ht="16.5" spans="1:22">
      <c r="A53" s="10">
        <v>47</v>
      </c>
      <c r="B53" s="11">
        <v>7260</v>
      </c>
      <c r="C53" s="11">
        <f t="shared" si="8"/>
        <v>167510</v>
      </c>
      <c r="D53" s="12">
        <v>0.099</v>
      </c>
      <c r="E53" s="10"/>
      <c r="F53" s="13"/>
      <c r="G53" s="11">
        <v>97</v>
      </c>
      <c r="H53" s="11">
        <v>20900</v>
      </c>
      <c r="I53" s="11">
        <f t="shared" si="9"/>
        <v>875810</v>
      </c>
      <c r="J53" s="12">
        <v>0.189</v>
      </c>
      <c r="K53" s="10"/>
      <c r="L53" s="13"/>
      <c r="M53" s="3"/>
      <c r="N53" s="30"/>
      <c r="O53" s="13">
        <v>19</v>
      </c>
      <c r="P53" s="11">
        <v>15000</v>
      </c>
      <c r="Q53" s="11">
        <v>2980800</v>
      </c>
      <c r="R53" s="10"/>
      <c r="S53" s="18"/>
      <c r="T53" s="10"/>
      <c r="U53" s="10"/>
      <c r="V53" s="10"/>
    </row>
    <row r="54" ht="16.5" spans="1:22">
      <c r="A54" s="10">
        <v>48</v>
      </c>
      <c r="B54" s="11">
        <v>7480</v>
      </c>
      <c r="C54" s="11">
        <f t="shared" si="8"/>
        <v>174990</v>
      </c>
      <c r="D54" s="12">
        <v>0.1</v>
      </c>
      <c r="E54" s="10"/>
      <c r="F54" s="13"/>
      <c r="G54" s="11">
        <v>98</v>
      </c>
      <c r="H54" s="11">
        <v>21180</v>
      </c>
      <c r="I54" s="11">
        <f t="shared" si="9"/>
        <v>896990</v>
      </c>
      <c r="J54" s="12">
        <v>0.19</v>
      </c>
      <c r="K54" s="10"/>
      <c r="L54" s="13"/>
      <c r="M54" s="3"/>
      <c r="N54" s="36"/>
      <c r="O54" s="13">
        <v>20</v>
      </c>
      <c r="P54" s="11">
        <v>15000</v>
      </c>
      <c r="Q54" s="11">
        <v>2980800</v>
      </c>
      <c r="R54" s="10"/>
      <c r="S54" s="19"/>
      <c r="T54" s="10"/>
      <c r="U54" s="10"/>
      <c r="V54" s="10"/>
    </row>
    <row r="55" ht="16.5" spans="1:22">
      <c r="A55" s="10">
        <v>49</v>
      </c>
      <c r="B55" s="11">
        <v>7700</v>
      </c>
      <c r="C55" s="11">
        <f t="shared" si="8"/>
        <v>182690</v>
      </c>
      <c r="D55" s="12">
        <v>0.101</v>
      </c>
      <c r="E55" s="10"/>
      <c r="F55" s="13"/>
      <c r="G55" s="11">
        <v>99</v>
      </c>
      <c r="H55" s="11">
        <v>21450</v>
      </c>
      <c r="I55" s="11">
        <f t="shared" si="9"/>
        <v>918440</v>
      </c>
      <c r="J55" s="12">
        <v>0.191</v>
      </c>
      <c r="K55" s="10"/>
      <c r="L55" s="13"/>
      <c r="M55" s="3"/>
      <c r="N55" s="7" t="s">
        <v>8</v>
      </c>
      <c r="O55" s="20" t="s">
        <v>9</v>
      </c>
      <c r="P55" s="20" t="s">
        <v>10</v>
      </c>
      <c r="Q55" s="20" t="s">
        <v>11</v>
      </c>
      <c r="R55" s="20" t="s">
        <v>12</v>
      </c>
      <c r="S55" s="20" t="s">
        <v>13</v>
      </c>
      <c r="T55" s="20" t="s">
        <v>14</v>
      </c>
      <c r="U55" s="20"/>
      <c r="V55" s="20"/>
    </row>
    <row r="56" ht="16.5" spans="1:22">
      <c r="A56" s="10">
        <v>50</v>
      </c>
      <c r="B56" s="11">
        <v>7980</v>
      </c>
      <c r="C56" s="11">
        <f t="shared" si="8"/>
        <v>190670</v>
      </c>
      <c r="D56" s="12">
        <v>0.102</v>
      </c>
      <c r="E56" s="10"/>
      <c r="F56" s="13"/>
      <c r="G56" s="11">
        <v>100</v>
      </c>
      <c r="H56" s="11">
        <v>21730</v>
      </c>
      <c r="I56" s="11">
        <f t="shared" si="9"/>
        <v>940170</v>
      </c>
      <c r="J56" s="12">
        <v>0.192</v>
      </c>
      <c r="K56" s="10"/>
      <c r="L56" s="13"/>
      <c r="M56" s="3"/>
      <c r="N56" s="29" t="s">
        <v>305</v>
      </c>
      <c r="O56" s="13">
        <v>1</v>
      </c>
      <c r="P56" s="10"/>
      <c r="Q56" s="10"/>
      <c r="R56" s="10"/>
      <c r="S56" s="10" t="s">
        <v>10</v>
      </c>
      <c r="T56" s="54"/>
      <c r="U56" s="42"/>
      <c r="V56" s="43"/>
    </row>
    <row r="57" ht="16.5" spans="1:22">
      <c r="A57" s="10" t="s">
        <v>31</v>
      </c>
      <c r="B57" s="10"/>
      <c r="C57" s="10"/>
      <c r="D57" s="10">
        <v>0.11</v>
      </c>
      <c r="E57" s="10">
        <v>160</v>
      </c>
      <c r="F57" s="13" t="s">
        <v>16</v>
      </c>
      <c r="G57" s="10" t="s">
        <v>31</v>
      </c>
      <c r="H57" s="10"/>
      <c r="I57" s="10"/>
      <c r="J57" s="12">
        <v>0.2</v>
      </c>
      <c r="K57" s="10">
        <v>350</v>
      </c>
      <c r="L57" s="13" t="s">
        <v>94</v>
      </c>
      <c r="M57" s="3"/>
      <c r="N57" s="30"/>
      <c r="O57" s="13">
        <v>2</v>
      </c>
      <c r="P57" s="11">
        <v>800</v>
      </c>
      <c r="Q57" s="11">
        <v>179400</v>
      </c>
      <c r="R57" s="10"/>
      <c r="S57" s="10"/>
      <c r="T57" s="10"/>
      <c r="U57" s="10"/>
      <c r="V57" s="10"/>
    </row>
    <row r="58" ht="16.5" spans="1:22">
      <c r="A58" s="44" t="s">
        <v>96</v>
      </c>
      <c r="B58" s="44"/>
      <c r="C58" s="45"/>
      <c r="D58" s="45"/>
      <c r="E58" s="44" t="s">
        <v>97</v>
      </c>
      <c r="F58" s="44">
        <f>I56</f>
        <v>940170</v>
      </c>
      <c r="G58" s="45"/>
      <c r="H58" s="45"/>
      <c r="I58" s="44" t="s">
        <v>6</v>
      </c>
      <c r="J58" s="44">
        <f>E13+E24+E35+E46+E57+K13+K24+K35+K46+K57</f>
        <v>1810</v>
      </c>
      <c r="K58" s="45"/>
      <c r="L58" s="45"/>
      <c r="M58" s="3"/>
      <c r="N58" s="30"/>
      <c r="O58" s="13">
        <v>3</v>
      </c>
      <c r="P58" s="11">
        <v>1500</v>
      </c>
      <c r="Q58" s="11">
        <v>336600</v>
      </c>
      <c r="R58" s="10"/>
      <c r="S58" s="10"/>
      <c r="T58" s="10"/>
      <c r="U58" s="10"/>
      <c r="V58" s="10"/>
    </row>
    <row r="59" ht="16.5" spans="1:22">
      <c r="A59" s="44"/>
      <c r="B59" s="44"/>
      <c r="C59" s="45"/>
      <c r="D59" s="45"/>
      <c r="E59" s="44"/>
      <c r="F59" s="44"/>
      <c r="G59" s="45"/>
      <c r="H59" s="45"/>
      <c r="I59" s="44"/>
      <c r="J59" s="44"/>
      <c r="K59" s="45"/>
      <c r="L59" s="45"/>
      <c r="M59" s="3"/>
      <c r="N59" s="30"/>
      <c r="O59" s="13">
        <v>4</v>
      </c>
      <c r="P59" s="11">
        <v>2200</v>
      </c>
      <c r="Q59" s="11">
        <v>493800</v>
      </c>
      <c r="R59" s="10"/>
      <c r="S59" s="10"/>
      <c r="T59" s="10"/>
      <c r="U59" s="10"/>
      <c r="V59" s="10"/>
    </row>
    <row r="60" ht="16.5" spans="1:22">
      <c r="A60" s="3"/>
      <c r="B60" s="3"/>
      <c r="C60" s="3"/>
      <c r="D60" s="3"/>
      <c r="E60" s="3"/>
      <c r="F60" s="46"/>
      <c r="G60" s="3"/>
      <c r="H60" s="3"/>
      <c r="I60" s="3"/>
      <c r="J60" s="3"/>
      <c r="K60" s="3"/>
      <c r="L60" s="46"/>
      <c r="M60" s="3"/>
      <c r="N60" s="30"/>
      <c r="O60" s="13">
        <v>5</v>
      </c>
      <c r="P60" s="11">
        <v>3000</v>
      </c>
      <c r="Q60" s="11">
        <v>673800</v>
      </c>
      <c r="R60" s="10"/>
      <c r="S60" s="10"/>
      <c r="T60" s="10"/>
      <c r="U60" s="10"/>
      <c r="V60" s="10"/>
    </row>
    <row r="61" ht="16.5" spans="1:22">
      <c r="A61" s="3"/>
      <c r="B61" s="3"/>
      <c r="C61" s="3"/>
      <c r="D61" s="3"/>
      <c r="E61" s="3"/>
      <c r="F61" s="46"/>
      <c r="G61" s="3"/>
      <c r="H61" s="3"/>
      <c r="I61" s="3"/>
      <c r="J61" s="3"/>
      <c r="K61" s="3"/>
      <c r="L61" s="46"/>
      <c r="M61" s="3"/>
      <c r="N61" s="30"/>
      <c r="O61" s="13">
        <v>6</v>
      </c>
      <c r="P61" s="11">
        <v>3800</v>
      </c>
      <c r="Q61" s="11">
        <v>853200</v>
      </c>
      <c r="R61" s="10"/>
      <c r="S61" s="17">
        <f>SUM(P57:P75)</f>
        <v>150000</v>
      </c>
      <c r="T61" s="10"/>
      <c r="U61" s="10"/>
      <c r="V61" s="10"/>
    </row>
    <row r="62" ht="16.5" spans="1:22">
      <c r="A62" s="3"/>
      <c r="B62" s="3"/>
      <c r="C62" s="3"/>
      <c r="D62" s="3"/>
      <c r="E62" s="3"/>
      <c r="F62" s="46"/>
      <c r="G62" s="3"/>
      <c r="H62" s="3"/>
      <c r="I62" s="3"/>
      <c r="J62" s="3"/>
      <c r="K62" s="3"/>
      <c r="L62" s="46"/>
      <c r="M62" s="3"/>
      <c r="N62" s="30"/>
      <c r="O62" s="13">
        <v>7</v>
      </c>
      <c r="P62" s="11">
        <v>4500</v>
      </c>
      <c r="Q62" s="11">
        <v>1010400</v>
      </c>
      <c r="R62" s="10"/>
      <c r="S62" s="18"/>
      <c r="T62" s="10"/>
      <c r="U62" s="10"/>
      <c r="V62" s="10"/>
    </row>
    <row r="63" ht="16.5" spans="1:22">
      <c r="A63" s="3"/>
      <c r="B63" s="3"/>
      <c r="C63" s="3"/>
      <c r="D63" s="3"/>
      <c r="E63" s="3"/>
      <c r="F63" s="46"/>
      <c r="G63" s="3"/>
      <c r="H63" s="3"/>
      <c r="I63" s="3"/>
      <c r="J63" s="3"/>
      <c r="K63" s="3"/>
      <c r="L63" s="46"/>
      <c r="M63" s="3"/>
      <c r="N63" s="30"/>
      <c r="O63" s="13">
        <v>8</v>
      </c>
      <c r="P63" s="11">
        <v>5200</v>
      </c>
      <c r="Q63" s="11">
        <v>1167600</v>
      </c>
      <c r="R63" s="10"/>
      <c r="S63" s="18"/>
      <c r="T63" s="10"/>
      <c r="U63" s="10"/>
      <c r="V63" s="10"/>
    </row>
    <row r="64" ht="16.5" spans="1:22">
      <c r="A64" s="3"/>
      <c r="B64" s="3"/>
      <c r="C64" s="3"/>
      <c r="D64" s="3"/>
      <c r="E64" s="3"/>
      <c r="F64" s="46"/>
      <c r="G64" s="3"/>
      <c r="H64" s="3"/>
      <c r="I64" s="3"/>
      <c r="J64" s="3"/>
      <c r="K64" s="3"/>
      <c r="L64" s="46"/>
      <c r="M64" s="3"/>
      <c r="N64" s="30"/>
      <c r="O64" s="13">
        <v>9</v>
      </c>
      <c r="P64" s="11">
        <v>6000</v>
      </c>
      <c r="Q64" s="11">
        <v>1347600</v>
      </c>
      <c r="R64" s="10"/>
      <c r="S64" s="18"/>
      <c r="T64" s="10"/>
      <c r="U64" s="10"/>
      <c r="V64" s="10"/>
    </row>
    <row r="65" ht="16.5" spans="1:22">
      <c r="A65" s="3"/>
      <c r="B65" s="3"/>
      <c r="C65" s="3"/>
      <c r="D65" s="3"/>
      <c r="E65" s="3"/>
      <c r="F65" s="46"/>
      <c r="G65" s="3"/>
      <c r="H65" s="3"/>
      <c r="I65" s="3"/>
      <c r="J65" s="3"/>
      <c r="K65" s="3"/>
      <c r="L65" s="46"/>
      <c r="M65" s="3"/>
      <c r="N65" s="30"/>
      <c r="O65" s="13">
        <v>10</v>
      </c>
      <c r="P65" s="11">
        <v>6800</v>
      </c>
      <c r="Q65" s="11">
        <v>1527600</v>
      </c>
      <c r="R65" s="10"/>
      <c r="S65" s="19"/>
      <c r="T65" s="10"/>
      <c r="U65" s="10"/>
      <c r="V65" s="10"/>
    </row>
    <row r="66" ht="16.5" spans="1:22">
      <c r="A66" s="3"/>
      <c r="B66" s="3"/>
      <c r="C66" s="3"/>
      <c r="D66" s="3"/>
      <c r="E66" s="3"/>
      <c r="F66" s="46"/>
      <c r="G66" s="3"/>
      <c r="H66" s="3"/>
      <c r="I66" s="3"/>
      <c r="J66" s="3"/>
      <c r="K66" s="3"/>
      <c r="L66" s="46"/>
      <c r="M66" s="3"/>
      <c r="N66" s="30"/>
      <c r="O66" s="13">
        <v>11</v>
      </c>
      <c r="P66" s="11">
        <v>7500</v>
      </c>
      <c r="Q66" s="11">
        <v>1684800</v>
      </c>
      <c r="R66" s="10"/>
      <c r="S66" s="10" t="s">
        <v>11</v>
      </c>
      <c r="T66" s="10"/>
      <c r="U66" s="10"/>
      <c r="V66" s="10"/>
    </row>
    <row r="67" ht="16.5" spans="1:22">
      <c r="A67" s="3"/>
      <c r="B67" s="3"/>
      <c r="C67" s="3"/>
      <c r="D67" s="3"/>
      <c r="E67" s="3"/>
      <c r="F67" s="46"/>
      <c r="G67" s="3"/>
      <c r="H67" s="3"/>
      <c r="I67" s="3"/>
      <c r="J67" s="3"/>
      <c r="K67" s="3"/>
      <c r="L67" s="46"/>
      <c r="M67" s="3"/>
      <c r="N67" s="30"/>
      <c r="O67" s="13">
        <v>12</v>
      </c>
      <c r="P67" s="11">
        <v>8200</v>
      </c>
      <c r="Q67" s="11">
        <v>1842000</v>
      </c>
      <c r="R67" s="10"/>
      <c r="S67" s="10"/>
      <c r="T67" s="10"/>
      <c r="U67" s="10"/>
      <c r="V67" s="10"/>
    </row>
    <row r="68" ht="16.5" spans="1:22">
      <c r="A68" s="3"/>
      <c r="B68" s="3"/>
      <c r="C68" s="3"/>
      <c r="D68" s="3"/>
      <c r="E68" s="3"/>
      <c r="F68" s="46"/>
      <c r="G68" s="3"/>
      <c r="H68" s="3"/>
      <c r="I68" s="3"/>
      <c r="J68" s="3"/>
      <c r="K68" s="3"/>
      <c r="L68" s="46"/>
      <c r="M68" s="3"/>
      <c r="N68" s="30"/>
      <c r="O68" s="13">
        <v>13</v>
      </c>
      <c r="P68" s="11">
        <v>9000</v>
      </c>
      <c r="Q68" s="11">
        <v>2021400</v>
      </c>
      <c r="R68" s="10"/>
      <c r="S68" s="10"/>
      <c r="T68" s="10"/>
      <c r="U68" s="10"/>
      <c r="V68" s="10"/>
    </row>
    <row r="69" ht="16.5" spans="1:22">
      <c r="A69" s="3"/>
      <c r="B69" s="3"/>
      <c r="C69" s="3"/>
      <c r="D69" s="3"/>
      <c r="E69" s="3"/>
      <c r="F69" s="46"/>
      <c r="G69" s="3"/>
      <c r="H69" s="3"/>
      <c r="I69" s="3"/>
      <c r="J69" s="3"/>
      <c r="K69" s="3"/>
      <c r="L69" s="46"/>
      <c r="M69" s="3"/>
      <c r="N69" s="30"/>
      <c r="O69" s="13">
        <v>14</v>
      </c>
      <c r="P69" s="11">
        <v>10500</v>
      </c>
      <c r="Q69" s="11">
        <v>2358600</v>
      </c>
      <c r="R69" s="10"/>
      <c r="S69" s="10"/>
      <c r="T69" s="10"/>
      <c r="U69" s="10"/>
      <c r="V69" s="10"/>
    </row>
    <row r="70" ht="16.5" spans="1:22">
      <c r="A70" s="3"/>
      <c r="B70" s="3"/>
      <c r="C70" s="3"/>
      <c r="D70" s="3"/>
      <c r="E70" s="3"/>
      <c r="F70" s="46"/>
      <c r="G70" s="3"/>
      <c r="H70" s="3"/>
      <c r="I70" s="3"/>
      <c r="J70" s="3"/>
      <c r="K70" s="3"/>
      <c r="L70" s="46"/>
      <c r="M70" s="3"/>
      <c r="N70" s="30"/>
      <c r="O70" s="13">
        <v>15</v>
      </c>
      <c r="P70" s="11">
        <v>12000</v>
      </c>
      <c r="Q70" s="11">
        <v>2695200</v>
      </c>
      <c r="R70" s="10"/>
      <c r="S70" s="10"/>
      <c r="T70" s="10"/>
      <c r="U70" s="10"/>
      <c r="V70" s="10"/>
    </row>
    <row r="71" ht="16.5" spans="1:22">
      <c r="A71" s="3"/>
      <c r="B71" s="3"/>
      <c r="C71" s="3"/>
      <c r="D71" s="3"/>
      <c r="E71" s="3"/>
      <c r="F71" s="46"/>
      <c r="G71" s="3"/>
      <c r="H71" s="3"/>
      <c r="I71" s="3"/>
      <c r="J71" s="3"/>
      <c r="K71" s="3"/>
      <c r="L71" s="46"/>
      <c r="M71" s="3"/>
      <c r="N71" s="30"/>
      <c r="O71" s="13">
        <v>16</v>
      </c>
      <c r="P71" s="11">
        <v>12000</v>
      </c>
      <c r="Q71" s="11">
        <v>2695200</v>
      </c>
      <c r="R71" s="10"/>
      <c r="S71" s="17">
        <f>SUM(Q60:Q75)</f>
        <v>32681400</v>
      </c>
      <c r="T71" s="10"/>
      <c r="U71" s="10"/>
      <c r="V71" s="10"/>
    </row>
    <row r="72" ht="16.5" spans="1:22">
      <c r="A72" s="3"/>
      <c r="B72" s="3"/>
      <c r="C72" s="3"/>
      <c r="D72" s="3"/>
      <c r="E72" s="3"/>
      <c r="F72" s="46"/>
      <c r="G72" s="3"/>
      <c r="H72" s="3"/>
      <c r="I72" s="3"/>
      <c r="J72" s="3"/>
      <c r="K72" s="3"/>
      <c r="L72" s="46"/>
      <c r="M72" s="3"/>
      <c r="N72" s="30"/>
      <c r="O72" s="13">
        <v>17</v>
      </c>
      <c r="P72" s="11">
        <v>13500</v>
      </c>
      <c r="Q72" s="11">
        <v>3032400</v>
      </c>
      <c r="R72" s="10"/>
      <c r="S72" s="18"/>
      <c r="T72" s="10"/>
      <c r="U72" s="10"/>
      <c r="V72" s="10"/>
    </row>
    <row r="73" ht="16.5" spans="1:22">
      <c r="A73" s="3"/>
      <c r="B73" s="3"/>
      <c r="C73" s="3"/>
      <c r="D73" s="3"/>
      <c r="E73" s="3"/>
      <c r="F73" s="46"/>
      <c r="G73" s="3"/>
      <c r="H73" s="3"/>
      <c r="I73" s="3"/>
      <c r="J73" s="3"/>
      <c r="K73" s="3"/>
      <c r="L73" s="46"/>
      <c r="M73" s="3"/>
      <c r="N73" s="30"/>
      <c r="O73" s="13">
        <v>18</v>
      </c>
      <c r="P73" s="11">
        <v>13500</v>
      </c>
      <c r="Q73" s="11">
        <v>3032400</v>
      </c>
      <c r="R73" s="10"/>
      <c r="S73" s="18"/>
      <c r="T73" s="10"/>
      <c r="U73" s="10"/>
      <c r="V73" s="10"/>
    </row>
    <row r="74" ht="16.5" spans="1:22">
      <c r="A74" s="3"/>
      <c r="B74" s="3"/>
      <c r="C74" s="3"/>
      <c r="D74" s="3"/>
      <c r="E74" s="3"/>
      <c r="F74" s="46"/>
      <c r="G74" s="3"/>
      <c r="H74" s="3"/>
      <c r="I74" s="3"/>
      <c r="J74" s="3"/>
      <c r="K74" s="3"/>
      <c r="L74" s="46"/>
      <c r="M74" s="3"/>
      <c r="N74" s="30"/>
      <c r="O74" s="13">
        <v>19</v>
      </c>
      <c r="P74" s="11">
        <v>15000</v>
      </c>
      <c r="Q74" s="11">
        <v>3369600</v>
      </c>
      <c r="R74" s="10"/>
      <c r="S74" s="18"/>
      <c r="T74" s="10"/>
      <c r="U74" s="10"/>
      <c r="V74" s="10"/>
    </row>
    <row r="75" ht="16.5" spans="1:22">
      <c r="A75" s="3"/>
      <c r="B75" s="3"/>
      <c r="C75" s="3"/>
      <c r="D75" s="3"/>
      <c r="E75" s="3"/>
      <c r="F75" s="46"/>
      <c r="G75" s="3"/>
      <c r="H75" s="3"/>
      <c r="I75" s="3"/>
      <c r="J75" s="3"/>
      <c r="K75" s="3"/>
      <c r="L75" s="46"/>
      <c r="M75" s="3"/>
      <c r="N75" s="36"/>
      <c r="O75" s="13">
        <v>20</v>
      </c>
      <c r="P75" s="11">
        <v>15000</v>
      </c>
      <c r="Q75" s="11">
        <v>3369600</v>
      </c>
      <c r="R75" s="10"/>
      <c r="S75" s="19"/>
      <c r="T75" s="10"/>
      <c r="U75" s="10"/>
      <c r="V75" s="10"/>
    </row>
    <row r="76" ht="16.5" spans="1:22">
      <c r="A76" s="3"/>
      <c r="B76" s="3"/>
      <c r="C76" s="3"/>
      <c r="D76" s="3"/>
      <c r="E76" s="3"/>
      <c r="F76" s="46"/>
      <c r="G76" s="3"/>
      <c r="H76" s="3"/>
      <c r="I76" s="3"/>
      <c r="J76" s="3"/>
      <c r="K76" s="3"/>
      <c r="L76" s="46"/>
      <c r="M76" s="3"/>
      <c r="N76" s="3"/>
      <c r="O76" s="3"/>
      <c r="P76" s="3"/>
      <c r="Q76" s="3"/>
      <c r="R76" s="44" t="s">
        <v>10</v>
      </c>
      <c r="S76" s="55">
        <f>S61+S40+S19+S5</f>
        <v>413500</v>
      </c>
      <c r="T76" s="44" t="s">
        <v>11</v>
      </c>
      <c r="U76" s="55">
        <f>S71+S50+S29+S10</f>
        <v>81162000</v>
      </c>
      <c r="V76" s="3"/>
    </row>
    <row r="77" ht="16.5" spans="1:22">
      <c r="A77" s="3"/>
      <c r="B77" s="3"/>
      <c r="C77" s="3"/>
      <c r="D77" s="3"/>
      <c r="E77" s="3"/>
      <c r="F77" s="46"/>
      <c r="G77" s="3"/>
      <c r="H77" s="3"/>
      <c r="I77" s="3"/>
      <c r="J77" s="3"/>
      <c r="K77" s="3"/>
      <c r="L77" s="46"/>
      <c r="M77" s="3"/>
      <c r="N77" s="3"/>
      <c r="O77" s="3"/>
      <c r="P77" s="3"/>
      <c r="Q77" s="3"/>
      <c r="R77" s="44"/>
      <c r="S77" s="56"/>
      <c r="T77" s="44"/>
      <c r="U77" s="56"/>
      <c r="V77" s="3"/>
    </row>
  </sheetData>
  <mergeCells count="130">
    <mergeCell ref="A1:B1"/>
    <mergeCell ref="C1:L1"/>
    <mergeCell ref="N1:O1"/>
    <mergeCell ref="P1:V1"/>
    <mergeCell ref="T2:V2"/>
    <mergeCell ref="T3:V3"/>
    <mergeCell ref="T4:V4"/>
    <mergeCell ref="T5:V5"/>
    <mergeCell ref="T6:V6"/>
    <mergeCell ref="T7:V7"/>
    <mergeCell ref="T8:V8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0:V60"/>
    <mergeCell ref="T61:V61"/>
    <mergeCell ref="T62:V62"/>
    <mergeCell ref="T63:V63"/>
    <mergeCell ref="T64:V64"/>
    <mergeCell ref="T65:V65"/>
    <mergeCell ref="T66:V66"/>
    <mergeCell ref="T67:V67"/>
    <mergeCell ref="T68:V68"/>
    <mergeCell ref="T69:V69"/>
    <mergeCell ref="T70:V70"/>
    <mergeCell ref="T71:V71"/>
    <mergeCell ref="T72:V72"/>
    <mergeCell ref="T73:V73"/>
    <mergeCell ref="T74:V74"/>
    <mergeCell ref="T75:V75"/>
    <mergeCell ref="E3:E12"/>
    <mergeCell ref="E14:E23"/>
    <mergeCell ref="E25:E34"/>
    <mergeCell ref="E36:E45"/>
    <mergeCell ref="E47:E56"/>
    <mergeCell ref="E58:E59"/>
    <mergeCell ref="F3:F12"/>
    <mergeCell ref="F13:F23"/>
    <mergeCell ref="F24:F34"/>
    <mergeCell ref="F35:F45"/>
    <mergeCell ref="F46:F56"/>
    <mergeCell ref="F58:F59"/>
    <mergeCell ref="I58:I59"/>
    <mergeCell ref="J58:J59"/>
    <mergeCell ref="K3:K12"/>
    <mergeCell ref="K14:K23"/>
    <mergeCell ref="K25:K34"/>
    <mergeCell ref="K36:K45"/>
    <mergeCell ref="K47:K56"/>
    <mergeCell ref="L3:L12"/>
    <mergeCell ref="L13:L23"/>
    <mergeCell ref="L24:L34"/>
    <mergeCell ref="L35:L45"/>
    <mergeCell ref="L46:L56"/>
    <mergeCell ref="N3:N12"/>
    <mergeCell ref="N14:N33"/>
    <mergeCell ref="N35:N54"/>
    <mergeCell ref="N56:N75"/>
    <mergeCell ref="R76:R77"/>
    <mergeCell ref="S3:S4"/>
    <mergeCell ref="S5:S7"/>
    <mergeCell ref="S8:S9"/>
    <mergeCell ref="S10:S12"/>
    <mergeCell ref="S14:S18"/>
    <mergeCell ref="S19:S23"/>
    <mergeCell ref="S24:S28"/>
    <mergeCell ref="S29:S33"/>
    <mergeCell ref="S35:S39"/>
    <mergeCell ref="S40:S44"/>
    <mergeCell ref="S45:S49"/>
    <mergeCell ref="S50:S54"/>
    <mergeCell ref="S56:S60"/>
    <mergeCell ref="S61:S65"/>
    <mergeCell ref="S66:S70"/>
    <mergeCell ref="S71:S75"/>
    <mergeCell ref="S76:S77"/>
    <mergeCell ref="T76:T77"/>
    <mergeCell ref="U76:U77"/>
    <mergeCell ref="A58:B59"/>
    <mergeCell ref="C58:D59"/>
    <mergeCell ref="G58:H59"/>
    <mergeCell ref="K58:L59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79"/>
  <sheetViews>
    <sheetView workbookViewId="0">
      <selection activeCell="A1" sqref="A1:V79"/>
    </sheetView>
  </sheetViews>
  <sheetFormatPr defaultColWidth="8.72727272727273" defaultRowHeight="14"/>
  <sheetData>
    <row r="1" ht="36.5" spans="1:22">
      <c r="A1" s="1" t="s">
        <v>0</v>
      </c>
      <c r="B1" s="1"/>
      <c r="C1" s="2" t="s">
        <v>306</v>
      </c>
      <c r="D1" s="2"/>
      <c r="E1" s="2"/>
      <c r="F1" s="2"/>
      <c r="G1" s="2"/>
      <c r="H1" s="2"/>
      <c r="I1" s="2"/>
      <c r="J1" s="2"/>
      <c r="K1" s="2"/>
      <c r="L1" s="2"/>
      <c r="M1" s="3"/>
      <c r="N1" s="1" t="s">
        <v>0</v>
      </c>
      <c r="O1" s="1"/>
      <c r="P1" s="2" t="s">
        <v>306</v>
      </c>
      <c r="Q1" s="2"/>
      <c r="R1" s="2"/>
      <c r="S1" s="2"/>
      <c r="T1" s="2"/>
      <c r="U1" s="2"/>
      <c r="V1" s="2"/>
    </row>
    <row r="2" ht="66" spans="1:22">
      <c r="A2" s="7" t="s">
        <v>2</v>
      </c>
      <c r="B2" s="7" t="s">
        <v>3</v>
      </c>
      <c r="C2" s="7" t="s">
        <v>4</v>
      </c>
      <c r="D2" s="8" t="s">
        <v>100</v>
      </c>
      <c r="E2" s="7" t="s">
        <v>6</v>
      </c>
      <c r="F2" s="7" t="s">
        <v>7</v>
      </c>
      <c r="G2" s="7" t="s">
        <v>2</v>
      </c>
      <c r="H2" s="7" t="s">
        <v>3</v>
      </c>
      <c r="I2" s="7" t="s">
        <v>4</v>
      </c>
      <c r="J2" s="8" t="s">
        <v>100</v>
      </c>
      <c r="K2" s="7" t="s">
        <v>6</v>
      </c>
      <c r="L2" s="7" t="s">
        <v>7</v>
      </c>
      <c r="M2" s="9"/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/>
      <c r="V2" s="7"/>
    </row>
    <row r="3" ht="16.5" spans="1:22">
      <c r="A3" s="10">
        <v>1</v>
      </c>
      <c r="B3" s="11">
        <v>1000</v>
      </c>
      <c r="C3" s="10"/>
      <c r="D3" s="12">
        <v>0.021</v>
      </c>
      <c r="E3" s="10"/>
      <c r="F3" s="13" t="s">
        <v>15</v>
      </c>
      <c r="G3" s="10">
        <v>51</v>
      </c>
      <c r="H3" s="11">
        <v>13800</v>
      </c>
      <c r="I3" s="11">
        <f>H3+C56</f>
        <v>331840</v>
      </c>
      <c r="J3" s="12">
        <v>0.111</v>
      </c>
      <c r="K3" s="10"/>
      <c r="L3" s="13" t="s">
        <v>16</v>
      </c>
      <c r="M3" s="3"/>
      <c r="N3" s="29" t="s">
        <v>307</v>
      </c>
      <c r="O3" s="13">
        <v>1</v>
      </c>
      <c r="P3" s="10"/>
      <c r="Q3" s="10"/>
      <c r="R3" s="10" t="s">
        <v>308</v>
      </c>
      <c r="S3" s="13" t="s">
        <v>10</v>
      </c>
      <c r="T3" s="15" t="s">
        <v>309</v>
      </c>
      <c r="U3" s="10"/>
      <c r="V3" s="10"/>
    </row>
    <row r="4" ht="16.5" spans="1:22">
      <c r="A4" s="10">
        <v>2</v>
      </c>
      <c r="B4" s="11">
        <v>1840</v>
      </c>
      <c r="C4" s="11">
        <f>B3+B4</f>
        <v>2840</v>
      </c>
      <c r="D4" s="12">
        <v>0.022</v>
      </c>
      <c r="E4" s="10"/>
      <c r="F4" s="13"/>
      <c r="G4" s="11">
        <v>52</v>
      </c>
      <c r="H4" s="11">
        <v>14260</v>
      </c>
      <c r="I4" s="11">
        <f t="shared" ref="I4:I12" si="0">H4+I3</f>
        <v>346100</v>
      </c>
      <c r="J4" s="12">
        <v>0.112</v>
      </c>
      <c r="K4" s="10"/>
      <c r="L4" s="13"/>
      <c r="M4" s="3"/>
      <c r="N4" s="30"/>
      <c r="O4" s="13">
        <v>2</v>
      </c>
      <c r="P4" s="11">
        <v>500</v>
      </c>
      <c r="Q4" s="11">
        <v>43200</v>
      </c>
      <c r="R4" s="10"/>
      <c r="S4" s="13"/>
      <c r="T4" s="15" t="s">
        <v>310</v>
      </c>
      <c r="U4" s="10"/>
      <c r="V4" s="10"/>
    </row>
    <row r="5" ht="16.5" spans="1:22">
      <c r="A5" s="10">
        <v>3</v>
      </c>
      <c r="B5" s="11">
        <v>1940</v>
      </c>
      <c r="C5" s="11">
        <f t="shared" ref="C5:C12" si="1">B5+C4</f>
        <v>4780</v>
      </c>
      <c r="D5" s="12">
        <v>0.023</v>
      </c>
      <c r="E5" s="10"/>
      <c r="F5" s="13"/>
      <c r="G5" s="11">
        <v>53</v>
      </c>
      <c r="H5" s="11">
        <v>14720</v>
      </c>
      <c r="I5" s="11">
        <f t="shared" si="0"/>
        <v>360820</v>
      </c>
      <c r="J5" s="12">
        <v>0.113</v>
      </c>
      <c r="K5" s="10"/>
      <c r="L5" s="13"/>
      <c r="M5" s="3"/>
      <c r="N5" s="30"/>
      <c r="O5" s="13">
        <v>3</v>
      </c>
      <c r="P5" s="11">
        <v>1000</v>
      </c>
      <c r="Q5" s="11">
        <v>86400</v>
      </c>
      <c r="R5" s="10"/>
      <c r="S5" s="31">
        <f>SUM(P4:P12)</f>
        <v>22500</v>
      </c>
      <c r="T5" s="15" t="s">
        <v>311</v>
      </c>
      <c r="U5" s="10"/>
      <c r="V5" s="10"/>
    </row>
    <row r="6" ht="16.5" spans="1:22">
      <c r="A6" s="10">
        <v>4</v>
      </c>
      <c r="B6" s="11">
        <v>2030</v>
      </c>
      <c r="C6" s="11">
        <f t="shared" si="1"/>
        <v>6810</v>
      </c>
      <c r="D6" s="12">
        <v>0.024</v>
      </c>
      <c r="E6" s="10"/>
      <c r="F6" s="13"/>
      <c r="G6" s="11">
        <v>54</v>
      </c>
      <c r="H6" s="11">
        <v>15180</v>
      </c>
      <c r="I6" s="11">
        <f t="shared" si="0"/>
        <v>376000</v>
      </c>
      <c r="J6" s="12">
        <v>0.114</v>
      </c>
      <c r="K6" s="10"/>
      <c r="L6" s="13"/>
      <c r="M6" s="3"/>
      <c r="N6" s="30"/>
      <c r="O6" s="13">
        <v>4</v>
      </c>
      <c r="P6" s="11">
        <v>1500</v>
      </c>
      <c r="Q6" s="11">
        <v>129600</v>
      </c>
      <c r="R6" s="10"/>
      <c r="S6" s="32"/>
      <c r="T6" s="15" t="s">
        <v>312</v>
      </c>
      <c r="U6" s="10"/>
      <c r="V6" s="10"/>
    </row>
    <row r="7" ht="16.5" spans="1:22">
      <c r="A7" s="10">
        <v>5</v>
      </c>
      <c r="B7" s="11">
        <v>2120</v>
      </c>
      <c r="C7" s="11">
        <f t="shared" si="1"/>
        <v>8930</v>
      </c>
      <c r="D7" s="12">
        <v>0.025</v>
      </c>
      <c r="E7" s="10"/>
      <c r="F7" s="13"/>
      <c r="G7" s="11">
        <v>55</v>
      </c>
      <c r="H7" s="11">
        <v>15640</v>
      </c>
      <c r="I7" s="11">
        <f t="shared" si="0"/>
        <v>391640</v>
      </c>
      <c r="J7" s="12">
        <v>0.115</v>
      </c>
      <c r="K7" s="10"/>
      <c r="L7" s="13"/>
      <c r="M7" s="3"/>
      <c r="N7" s="30"/>
      <c r="O7" s="13">
        <v>5</v>
      </c>
      <c r="P7" s="11">
        <v>2000</v>
      </c>
      <c r="Q7" s="11">
        <v>172800</v>
      </c>
      <c r="R7" s="10" t="s">
        <v>64</v>
      </c>
      <c r="S7" s="33"/>
      <c r="T7" s="15" t="s">
        <v>313</v>
      </c>
      <c r="U7" s="10"/>
      <c r="V7" s="10"/>
    </row>
    <row r="8" ht="16.5" spans="1:22">
      <c r="A8" s="10">
        <v>6</v>
      </c>
      <c r="B8" s="11">
        <v>2210</v>
      </c>
      <c r="C8" s="11">
        <f t="shared" si="1"/>
        <v>11140</v>
      </c>
      <c r="D8" s="12">
        <v>0.026</v>
      </c>
      <c r="E8" s="10"/>
      <c r="F8" s="13"/>
      <c r="G8" s="11">
        <v>56</v>
      </c>
      <c r="H8" s="11">
        <v>16100</v>
      </c>
      <c r="I8" s="11">
        <f t="shared" si="0"/>
        <v>407740</v>
      </c>
      <c r="J8" s="12">
        <v>0.116</v>
      </c>
      <c r="K8" s="10"/>
      <c r="L8" s="13"/>
      <c r="M8" s="3"/>
      <c r="N8" s="30"/>
      <c r="O8" s="13">
        <v>6</v>
      </c>
      <c r="P8" s="11">
        <v>2500</v>
      </c>
      <c r="Q8" s="11">
        <v>216000</v>
      </c>
      <c r="R8" s="10"/>
      <c r="S8" s="13" t="s">
        <v>11</v>
      </c>
      <c r="T8" s="15" t="s">
        <v>314</v>
      </c>
      <c r="U8" s="10"/>
      <c r="V8" s="10"/>
    </row>
    <row r="9" ht="16.5" spans="1:22">
      <c r="A9" s="10">
        <v>7</v>
      </c>
      <c r="B9" s="11">
        <v>2400</v>
      </c>
      <c r="C9" s="11">
        <f t="shared" si="1"/>
        <v>13540</v>
      </c>
      <c r="D9" s="12">
        <v>0.027</v>
      </c>
      <c r="E9" s="10"/>
      <c r="F9" s="13"/>
      <c r="G9" s="11">
        <v>57</v>
      </c>
      <c r="H9" s="11">
        <v>16560</v>
      </c>
      <c r="I9" s="11">
        <f t="shared" si="0"/>
        <v>424300</v>
      </c>
      <c r="J9" s="12">
        <v>0.117</v>
      </c>
      <c r="K9" s="10"/>
      <c r="L9" s="13"/>
      <c r="M9" s="3"/>
      <c r="N9" s="30"/>
      <c r="O9" s="13">
        <v>7</v>
      </c>
      <c r="P9" s="11">
        <v>3000</v>
      </c>
      <c r="Q9" s="11">
        <v>259200</v>
      </c>
      <c r="R9" s="10"/>
      <c r="S9" s="13"/>
      <c r="T9" s="15" t="s">
        <v>315</v>
      </c>
      <c r="U9" s="10"/>
      <c r="V9" s="10"/>
    </row>
    <row r="10" ht="16.5" spans="1:22">
      <c r="A10" s="10">
        <v>8</v>
      </c>
      <c r="B10" s="11">
        <v>2580</v>
      </c>
      <c r="C10" s="11">
        <f t="shared" si="1"/>
        <v>16120</v>
      </c>
      <c r="D10" s="12">
        <v>0.028</v>
      </c>
      <c r="E10" s="10"/>
      <c r="F10" s="13"/>
      <c r="G10" s="11">
        <v>58</v>
      </c>
      <c r="H10" s="11">
        <v>17020</v>
      </c>
      <c r="I10" s="11">
        <f t="shared" si="0"/>
        <v>441320</v>
      </c>
      <c r="J10" s="12">
        <v>0.118</v>
      </c>
      <c r="K10" s="10"/>
      <c r="L10" s="13"/>
      <c r="M10" s="3"/>
      <c r="N10" s="30"/>
      <c r="O10" s="13">
        <v>8</v>
      </c>
      <c r="P10" s="11">
        <v>3500</v>
      </c>
      <c r="Q10" s="11">
        <v>302400</v>
      </c>
      <c r="R10" s="10" t="s">
        <v>16</v>
      </c>
      <c r="S10" s="34">
        <f>SUM(Q4:Q12)</f>
        <v>1944000</v>
      </c>
      <c r="T10" s="15" t="s">
        <v>316</v>
      </c>
      <c r="U10" s="10"/>
      <c r="V10" s="10"/>
    </row>
    <row r="11" ht="16.5" spans="1:22">
      <c r="A11" s="10">
        <v>9</v>
      </c>
      <c r="B11" s="11">
        <v>2760</v>
      </c>
      <c r="C11" s="11">
        <f t="shared" si="1"/>
        <v>18880</v>
      </c>
      <c r="D11" s="12">
        <v>0.029</v>
      </c>
      <c r="E11" s="10"/>
      <c r="F11" s="13"/>
      <c r="G11" s="11">
        <v>59</v>
      </c>
      <c r="H11" s="11">
        <v>17480</v>
      </c>
      <c r="I11" s="11">
        <f t="shared" si="0"/>
        <v>458800</v>
      </c>
      <c r="J11" s="12">
        <v>0.119</v>
      </c>
      <c r="K11" s="10"/>
      <c r="L11" s="13"/>
      <c r="M11" s="3"/>
      <c r="N11" s="30"/>
      <c r="O11" s="13">
        <v>9</v>
      </c>
      <c r="P11" s="11">
        <v>4000</v>
      </c>
      <c r="Q11" s="11">
        <v>345600</v>
      </c>
      <c r="R11" s="10"/>
      <c r="S11" s="35"/>
      <c r="T11" s="15" t="s">
        <v>317</v>
      </c>
      <c r="U11" s="10"/>
      <c r="V11" s="10"/>
    </row>
    <row r="12" ht="16.5" spans="1:22">
      <c r="A12" s="10">
        <v>10</v>
      </c>
      <c r="B12" s="11">
        <v>2950</v>
      </c>
      <c r="C12" s="11">
        <f t="shared" si="1"/>
        <v>21830</v>
      </c>
      <c r="D12" s="12">
        <v>0.03</v>
      </c>
      <c r="E12" s="10"/>
      <c r="F12" s="13"/>
      <c r="G12" s="11">
        <v>60</v>
      </c>
      <c r="H12" s="11">
        <v>17940</v>
      </c>
      <c r="I12" s="11">
        <f t="shared" si="0"/>
        <v>476740</v>
      </c>
      <c r="J12" s="12">
        <v>0.12</v>
      </c>
      <c r="K12" s="10"/>
      <c r="L12" s="13"/>
      <c r="M12" s="3"/>
      <c r="N12" s="36"/>
      <c r="O12" s="13">
        <v>10</v>
      </c>
      <c r="P12" s="11">
        <v>4500</v>
      </c>
      <c r="Q12" s="11">
        <v>388800</v>
      </c>
      <c r="R12" s="10" t="s">
        <v>49</v>
      </c>
      <c r="S12" s="37"/>
      <c r="T12" s="15" t="s">
        <v>318</v>
      </c>
      <c r="U12" s="10"/>
      <c r="V12" s="10"/>
    </row>
    <row r="13" ht="16.5" spans="1:22">
      <c r="A13" s="13" t="s">
        <v>31</v>
      </c>
      <c r="B13" s="38"/>
      <c r="C13" s="38"/>
      <c r="D13" s="39">
        <v>0.038</v>
      </c>
      <c r="E13" s="13">
        <v>20</v>
      </c>
      <c r="F13" s="13" t="s">
        <v>32</v>
      </c>
      <c r="G13" s="13" t="s">
        <v>31</v>
      </c>
      <c r="H13" s="38"/>
      <c r="I13" s="38"/>
      <c r="J13" s="39">
        <v>0.128</v>
      </c>
      <c r="K13" s="13">
        <v>120</v>
      </c>
      <c r="L13" s="13" t="s">
        <v>33</v>
      </c>
      <c r="M13" s="3"/>
      <c r="N13" s="7" t="s">
        <v>8</v>
      </c>
      <c r="O13" s="20" t="s">
        <v>9</v>
      </c>
      <c r="P13" s="20" t="s">
        <v>10</v>
      </c>
      <c r="Q13" s="20" t="s">
        <v>11</v>
      </c>
      <c r="R13" s="20" t="s">
        <v>12</v>
      </c>
      <c r="S13" s="20" t="s">
        <v>13</v>
      </c>
      <c r="T13" s="20" t="s">
        <v>14</v>
      </c>
      <c r="U13" s="20"/>
      <c r="V13" s="20"/>
    </row>
    <row r="14" ht="16.5" spans="1:22">
      <c r="A14" s="10">
        <v>11</v>
      </c>
      <c r="B14" s="11">
        <v>3130</v>
      </c>
      <c r="C14" s="11">
        <f>B14+C12</f>
        <v>24960</v>
      </c>
      <c r="D14" s="12">
        <v>0.039</v>
      </c>
      <c r="E14" s="10"/>
      <c r="F14" s="13"/>
      <c r="G14" s="11">
        <v>61</v>
      </c>
      <c r="H14" s="11">
        <v>18400</v>
      </c>
      <c r="I14" s="11">
        <f>H14+I12</f>
        <v>495140</v>
      </c>
      <c r="J14" s="12">
        <v>0.129</v>
      </c>
      <c r="K14" s="10"/>
      <c r="L14" s="13"/>
      <c r="M14" s="3"/>
      <c r="N14" s="29" t="s">
        <v>319</v>
      </c>
      <c r="O14" s="13">
        <v>1</v>
      </c>
      <c r="P14" s="10"/>
      <c r="Q14" s="10"/>
      <c r="R14" s="10" t="s">
        <v>320</v>
      </c>
      <c r="S14" s="13" t="s">
        <v>10</v>
      </c>
      <c r="T14" s="15" t="s">
        <v>321</v>
      </c>
      <c r="U14" s="10"/>
      <c r="V14" s="10"/>
    </row>
    <row r="15" ht="16.5" spans="1:22">
      <c r="A15" s="10">
        <v>12</v>
      </c>
      <c r="B15" s="11">
        <v>3320</v>
      </c>
      <c r="C15" s="11">
        <f t="shared" ref="C15:C23" si="2">B15+C14</f>
        <v>28280</v>
      </c>
      <c r="D15" s="12">
        <v>0.04</v>
      </c>
      <c r="E15" s="10"/>
      <c r="F15" s="13"/>
      <c r="G15" s="11">
        <v>62</v>
      </c>
      <c r="H15" s="11">
        <v>18860</v>
      </c>
      <c r="I15" s="11">
        <f t="shared" ref="I15:I23" si="3">H15+I14</f>
        <v>514000</v>
      </c>
      <c r="J15" s="12">
        <v>0.13</v>
      </c>
      <c r="K15" s="10"/>
      <c r="L15" s="13"/>
      <c r="M15" s="3"/>
      <c r="N15" s="30"/>
      <c r="O15" s="13">
        <v>2</v>
      </c>
      <c r="P15" s="11">
        <v>500</v>
      </c>
      <c r="Q15" s="11">
        <v>60000</v>
      </c>
      <c r="R15" s="10"/>
      <c r="S15" s="13"/>
      <c r="T15" s="15" t="s">
        <v>322</v>
      </c>
      <c r="U15" s="10"/>
      <c r="V15" s="10"/>
    </row>
    <row r="16" ht="16.5" spans="1:22">
      <c r="A16" s="10">
        <v>13</v>
      </c>
      <c r="B16" s="11">
        <v>3500</v>
      </c>
      <c r="C16" s="11">
        <f t="shared" si="2"/>
        <v>31780</v>
      </c>
      <c r="D16" s="12">
        <v>0.041</v>
      </c>
      <c r="E16" s="10"/>
      <c r="F16" s="13"/>
      <c r="G16" s="11">
        <v>63</v>
      </c>
      <c r="H16" s="11">
        <v>19320</v>
      </c>
      <c r="I16" s="11">
        <f t="shared" si="3"/>
        <v>533320</v>
      </c>
      <c r="J16" s="12">
        <v>0.131</v>
      </c>
      <c r="K16" s="10"/>
      <c r="L16" s="13"/>
      <c r="M16" s="3"/>
      <c r="N16" s="30"/>
      <c r="O16" s="13">
        <v>3</v>
      </c>
      <c r="P16" s="11">
        <v>1000</v>
      </c>
      <c r="Q16" s="11">
        <v>120600</v>
      </c>
      <c r="R16" s="10"/>
      <c r="S16" s="34">
        <f>SUM(P15:P23)</f>
        <v>22500</v>
      </c>
      <c r="T16" s="15" t="s">
        <v>323</v>
      </c>
      <c r="U16" s="10"/>
      <c r="V16" s="10"/>
    </row>
    <row r="17" ht="16.5" spans="1:22">
      <c r="A17" s="10">
        <v>14</v>
      </c>
      <c r="B17" s="11">
        <v>3680</v>
      </c>
      <c r="C17" s="11">
        <f t="shared" si="2"/>
        <v>35460</v>
      </c>
      <c r="D17" s="12">
        <v>0.042</v>
      </c>
      <c r="E17" s="10"/>
      <c r="F17" s="13"/>
      <c r="G17" s="11">
        <v>64</v>
      </c>
      <c r="H17" s="11">
        <v>19780</v>
      </c>
      <c r="I17" s="11">
        <f t="shared" si="3"/>
        <v>553100</v>
      </c>
      <c r="J17" s="12">
        <v>0.132</v>
      </c>
      <c r="K17" s="10"/>
      <c r="L17" s="13"/>
      <c r="M17" s="3"/>
      <c r="N17" s="30"/>
      <c r="O17" s="13">
        <v>4</v>
      </c>
      <c r="P17" s="11">
        <v>1500</v>
      </c>
      <c r="Q17" s="11">
        <v>181200</v>
      </c>
      <c r="R17" s="10"/>
      <c r="S17" s="35"/>
      <c r="T17" s="15" t="s">
        <v>324</v>
      </c>
      <c r="U17" s="10"/>
      <c r="V17" s="10"/>
    </row>
    <row r="18" ht="16.5" spans="1:22">
      <c r="A18" s="10">
        <v>15</v>
      </c>
      <c r="B18" s="11">
        <v>3870</v>
      </c>
      <c r="C18" s="11">
        <f t="shared" si="2"/>
        <v>39330</v>
      </c>
      <c r="D18" s="12">
        <v>0.043</v>
      </c>
      <c r="E18" s="10"/>
      <c r="F18" s="13"/>
      <c r="G18" s="11">
        <v>65</v>
      </c>
      <c r="H18" s="11">
        <v>20240</v>
      </c>
      <c r="I18" s="11">
        <f t="shared" si="3"/>
        <v>573340</v>
      </c>
      <c r="J18" s="12">
        <v>0.133</v>
      </c>
      <c r="K18" s="10"/>
      <c r="L18" s="13"/>
      <c r="M18" s="3"/>
      <c r="N18" s="30"/>
      <c r="O18" s="13">
        <v>5</v>
      </c>
      <c r="P18" s="11">
        <v>2000</v>
      </c>
      <c r="Q18" s="11">
        <v>241800</v>
      </c>
      <c r="R18" s="10" t="s">
        <v>80</v>
      </c>
      <c r="S18" s="37"/>
      <c r="T18" s="15" t="s">
        <v>325</v>
      </c>
      <c r="U18" s="10"/>
      <c r="V18" s="10"/>
    </row>
    <row r="19" ht="16.5" spans="1:22">
      <c r="A19" s="10">
        <v>16</v>
      </c>
      <c r="B19" s="11">
        <v>4050</v>
      </c>
      <c r="C19" s="11">
        <f t="shared" si="2"/>
        <v>43380</v>
      </c>
      <c r="D19" s="12">
        <v>0.044</v>
      </c>
      <c r="E19" s="10"/>
      <c r="F19" s="13"/>
      <c r="G19" s="11">
        <v>66</v>
      </c>
      <c r="H19" s="11">
        <v>20700</v>
      </c>
      <c r="I19" s="11">
        <f t="shared" si="3"/>
        <v>594040</v>
      </c>
      <c r="J19" s="12">
        <v>0.134</v>
      </c>
      <c r="K19" s="10"/>
      <c r="L19" s="13"/>
      <c r="M19" s="3"/>
      <c r="N19" s="30"/>
      <c r="O19" s="13">
        <v>6</v>
      </c>
      <c r="P19" s="11">
        <v>2500</v>
      </c>
      <c r="Q19" s="11">
        <v>302400</v>
      </c>
      <c r="R19" s="10"/>
      <c r="S19" s="13" t="s">
        <v>11</v>
      </c>
      <c r="T19" s="15" t="s">
        <v>326</v>
      </c>
      <c r="U19" s="10"/>
      <c r="V19" s="10"/>
    </row>
    <row r="20" ht="16.5" spans="1:22">
      <c r="A20" s="10">
        <v>17</v>
      </c>
      <c r="B20" s="11">
        <v>4240</v>
      </c>
      <c r="C20" s="11">
        <f t="shared" si="2"/>
        <v>47620</v>
      </c>
      <c r="D20" s="12">
        <v>0.045</v>
      </c>
      <c r="E20" s="10"/>
      <c r="F20" s="13"/>
      <c r="G20" s="11">
        <v>67</v>
      </c>
      <c r="H20" s="11">
        <v>21160</v>
      </c>
      <c r="I20" s="11">
        <f t="shared" si="3"/>
        <v>615200</v>
      </c>
      <c r="J20" s="12">
        <v>0.135</v>
      </c>
      <c r="K20" s="10"/>
      <c r="L20" s="13"/>
      <c r="M20" s="3"/>
      <c r="N20" s="30"/>
      <c r="O20" s="13">
        <v>7</v>
      </c>
      <c r="P20" s="11">
        <v>3000</v>
      </c>
      <c r="Q20" s="11">
        <v>362400</v>
      </c>
      <c r="R20" s="10"/>
      <c r="S20" s="13"/>
      <c r="T20" s="15" t="s">
        <v>327</v>
      </c>
      <c r="U20" s="10"/>
      <c r="V20" s="10"/>
    </row>
    <row r="21" ht="16.5" spans="1:22">
      <c r="A21" s="10">
        <v>18</v>
      </c>
      <c r="B21" s="11">
        <v>4420</v>
      </c>
      <c r="C21" s="11">
        <f t="shared" si="2"/>
        <v>52040</v>
      </c>
      <c r="D21" s="12">
        <v>0.046</v>
      </c>
      <c r="E21" s="10"/>
      <c r="F21" s="13"/>
      <c r="G21" s="11">
        <v>68</v>
      </c>
      <c r="H21" s="11">
        <v>21620</v>
      </c>
      <c r="I21" s="11">
        <f t="shared" si="3"/>
        <v>636820</v>
      </c>
      <c r="J21" s="12">
        <v>0.136</v>
      </c>
      <c r="K21" s="10"/>
      <c r="L21" s="13"/>
      <c r="M21" s="3"/>
      <c r="N21" s="30"/>
      <c r="O21" s="13">
        <v>8</v>
      </c>
      <c r="P21" s="11">
        <v>3500</v>
      </c>
      <c r="Q21" s="11">
        <v>423000</v>
      </c>
      <c r="R21" s="10" t="s">
        <v>33</v>
      </c>
      <c r="S21" s="34">
        <f>SUM(Q15:Q23)</f>
        <v>2719200</v>
      </c>
      <c r="T21" s="15" t="s">
        <v>328</v>
      </c>
      <c r="U21" s="10"/>
      <c r="V21" s="10"/>
    </row>
    <row r="22" ht="16.5" spans="1:22">
      <c r="A22" s="10">
        <v>19</v>
      </c>
      <c r="B22" s="11">
        <v>4600</v>
      </c>
      <c r="C22" s="11">
        <f t="shared" si="2"/>
        <v>56640</v>
      </c>
      <c r="D22" s="12">
        <v>0.047</v>
      </c>
      <c r="E22" s="10"/>
      <c r="F22" s="13"/>
      <c r="G22" s="11">
        <v>69</v>
      </c>
      <c r="H22" s="11">
        <v>22080</v>
      </c>
      <c r="I22" s="11">
        <f t="shared" si="3"/>
        <v>658900</v>
      </c>
      <c r="J22" s="12">
        <v>0.137</v>
      </c>
      <c r="K22" s="10"/>
      <c r="L22" s="13"/>
      <c r="M22" s="3"/>
      <c r="N22" s="30"/>
      <c r="O22" s="13">
        <v>9</v>
      </c>
      <c r="P22" s="11">
        <v>4000</v>
      </c>
      <c r="Q22" s="11">
        <v>483600</v>
      </c>
      <c r="R22" s="10"/>
      <c r="S22" s="35"/>
      <c r="T22" s="15" t="s">
        <v>329</v>
      </c>
      <c r="U22" s="10"/>
      <c r="V22" s="10"/>
    </row>
    <row r="23" ht="16.5" spans="1:22">
      <c r="A23" s="10">
        <v>20</v>
      </c>
      <c r="B23" s="11">
        <v>4790</v>
      </c>
      <c r="C23" s="11">
        <f t="shared" si="2"/>
        <v>61430</v>
      </c>
      <c r="D23" s="12">
        <v>0.048</v>
      </c>
      <c r="E23" s="10"/>
      <c r="F23" s="13"/>
      <c r="G23" s="11">
        <v>70</v>
      </c>
      <c r="H23" s="11">
        <v>22540</v>
      </c>
      <c r="I23" s="11">
        <f t="shared" si="3"/>
        <v>681440</v>
      </c>
      <c r="J23" s="12">
        <v>0.138</v>
      </c>
      <c r="K23" s="10"/>
      <c r="L23" s="13"/>
      <c r="M23" s="3"/>
      <c r="N23" s="36"/>
      <c r="O23" s="13">
        <v>10</v>
      </c>
      <c r="P23" s="11">
        <v>4500</v>
      </c>
      <c r="Q23" s="11">
        <v>544200</v>
      </c>
      <c r="R23" s="10" t="s">
        <v>65</v>
      </c>
      <c r="S23" s="37"/>
      <c r="T23" s="15" t="s">
        <v>330</v>
      </c>
      <c r="U23" s="10"/>
      <c r="V23" s="10"/>
    </row>
    <row r="24" ht="16.5" spans="1:22">
      <c r="A24" s="13" t="s">
        <v>31</v>
      </c>
      <c r="B24" s="38"/>
      <c r="C24" s="38"/>
      <c r="D24" s="39">
        <v>0.056</v>
      </c>
      <c r="E24" s="13">
        <v>40</v>
      </c>
      <c r="F24" s="13" t="s">
        <v>48</v>
      </c>
      <c r="G24" s="13" t="s">
        <v>31</v>
      </c>
      <c r="H24" s="38"/>
      <c r="I24" s="38"/>
      <c r="J24" s="39">
        <v>0.146</v>
      </c>
      <c r="K24" s="13">
        <v>140</v>
      </c>
      <c r="L24" s="13" t="s">
        <v>49</v>
      </c>
      <c r="M24" s="3"/>
      <c r="N24" s="7" t="s">
        <v>8</v>
      </c>
      <c r="O24" s="20" t="s">
        <v>9</v>
      </c>
      <c r="P24" s="20" t="s">
        <v>10</v>
      </c>
      <c r="Q24" s="20" t="s">
        <v>11</v>
      </c>
      <c r="R24" s="20" t="s">
        <v>12</v>
      </c>
      <c r="S24" s="20" t="s">
        <v>13</v>
      </c>
      <c r="T24" s="20" t="s">
        <v>14</v>
      </c>
      <c r="U24" s="20"/>
      <c r="V24" s="20"/>
    </row>
    <row r="25" ht="16.5" spans="1:22">
      <c r="A25" s="10">
        <v>21</v>
      </c>
      <c r="B25" s="11">
        <v>4970</v>
      </c>
      <c r="C25" s="11">
        <f>B25+C23</f>
        <v>66400</v>
      </c>
      <c r="D25" s="12">
        <v>0.057</v>
      </c>
      <c r="E25" s="10"/>
      <c r="F25" s="13"/>
      <c r="G25" s="11">
        <v>71</v>
      </c>
      <c r="H25" s="11">
        <v>23000</v>
      </c>
      <c r="I25" s="11">
        <f>H25+I23</f>
        <v>704440</v>
      </c>
      <c r="J25" s="12">
        <v>0.147</v>
      </c>
      <c r="K25" s="10"/>
      <c r="L25" s="13"/>
      <c r="M25" s="3"/>
      <c r="N25" s="29" t="s">
        <v>331</v>
      </c>
      <c r="O25" s="13">
        <v>1</v>
      </c>
      <c r="P25" s="10"/>
      <c r="Q25" s="10"/>
      <c r="R25" s="10" t="s">
        <v>332</v>
      </c>
      <c r="S25" s="13" t="s">
        <v>10</v>
      </c>
      <c r="T25" s="15" t="s">
        <v>333</v>
      </c>
      <c r="U25" s="10"/>
      <c r="V25" s="10"/>
    </row>
    <row r="26" ht="16.5" spans="1:22">
      <c r="A26" s="10">
        <v>22</v>
      </c>
      <c r="B26" s="11">
        <v>5160</v>
      </c>
      <c r="C26" s="11">
        <f t="shared" ref="C26:C34" si="4">B26+C25</f>
        <v>71560</v>
      </c>
      <c r="D26" s="12">
        <v>0.058</v>
      </c>
      <c r="E26" s="10"/>
      <c r="F26" s="13"/>
      <c r="G26" s="11">
        <v>72</v>
      </c>
      <c r="H26" s="11">
        <v>23460</v>
      </c>
      <c r="I26" s="11">
        <f t="shared" ref="I26:I34" si="5">H26+I25</f>
        <v>727900</v>
      </c>
      <c r="J26" s="12">
        <v>0.148</v>
      </c>
      <c r="K26" s="10"/>
      <c r="L26" s="13"/>
      <c r="M26" s="3"/>
      <c r="N26" s="30"/>
      <c r="O26" s="13">
        <v>2</v>
      </c>
      <c r="P26" s="11">
        <v>800</v>
      </c>
      <c r="Q26" s="11">
        <v>110400</v>
      </c>
      <c r="R26" s="10"/>
      <c r="S26" s="13"/>
      <c r="T26" s="15" t="s">
        <v>334</v>
      </c>
      <c r="U26" s="10"/>
      <c r="V26" s="10"/>
    </row>
    <row r="27" ht="16.5" spans="1:22">
      <c r="A27" s="10">
        <v>23</v>
      </c>
      <c r="B27" s="11">
        <v>5340</v>
      </c>
      <c r="C27" s="11">
        <f t="shared" si="4"/>
        <v>76900</v>
      </c>
      <c r="D27" s="12">
        <v>0.059</v>
      </c>
      <c r="E27" s="10"/>
      <c r="F27" s="13"/>
      <c r="G27" s="11">
        <v>73</v>
      </c>
      <c r="H27" s="11">
        <v>23920</v>
      </c>
      <c r="I27" s="11">
        <f t="shared" si="5"/>
        <v>751820</v>
      </c>
      <c r="J27" s="12">
        <v>0.149</v>
      </c>
      <c r="K27" s="10"/>
      <c r="L27" s="13"/>
      <c r="M27" s="3"/>
      <c r="N27" s="30"/>
      <c r="O27" s="13">
        <v>3</v>
      </c>
      <c r="P27" s="11">
        <v>1500</v>
      </c>
      <c r="Q27" s="11">
        <v>207000</v>
      </c>
      <c r="R27" s="10"/>
      <c r="S27" s="13"/>
      <c r="T27" s="15" t="s">
        <v>335</v>
      </c>
      <c r="U27" s="10"/>
      <c r="V27" s="10"/>
    </row>
    <row r="28" ht="16.5" spans="1:22">
      <c r="A28" s="10">
        <v>24</v>
      </c>
      <c r="B28" s="11">
        <v>5520</v>
      </c>
      <c r="C28" s="11">
        <f t="shared" si="4"/>
        <v>82420</v>
      </c>
      <c r="D28" s="12">
        <v>0.06</v>
      </c>
      <c r="E28" s="10"/>
      <c r="F28" s="13"/>
      <c r="G28" s="11">
        <v>74</v>
      </c>
      <c r="H28" s="11">
        <v>24380</v>
      </c>
      <c r="I28" s="11">
        <f t="shared" si="5"/>
        <v>776200</v>
      </c>
      <c r="J28" s="12">
        <v>0.15</v>
      </c>
      <c r="K28" s="10"/>
      <c r="L28" s="13"/>
      <c r="M28" s="3"/>
      <c r="N28" s="30"/>
      <c r="O28" s="13">
        <v>4</v>
      </c>
      <c r="P28" s="11">
        <v>2200</v>
      </c>
      <c r="Q28" s="11">
        <v>303600</v>
      </c>
      <c r="R28" s="10"/>
      <c r="S28" s="13"/>
      <c r="T28" s="15" t="s">
        <v>336</v>
      </c>
      <c r="U28" s="10"/>
      <c r="V28" s="10"/>
    </row>
    <row r="29" ht="16.5" spans="1:22">
      <c r="A29" s="10">
        <v>25</v>
      </c>
      <c r="B29" s="11">
        <v>5710</v>
      </c>
      <c r="C29" s="11">
        <f t="shared" si="4"/>
        <v>88130</v>
      </c>
      <c r="D29" s="12">
        <v>0.061</v>
      </c>
      <c r="E29" s="10"/>
      <c r="F29" s="13"/>
      <c r="G29" s="11">
        <v>75</v>
      </c>
      <c r="H29" s="11">
        <v>24840</v>
      </c>
      <c r="I29" s="11">
        <f t="shared" si="5"/>
        <v>801040</v>
      </c>
      <c r="J29" s="12">
        <v>0.151</v>
      </c>
      <c r="K29" s="10"/>
      <c r="L29" s="13"/>
      <c r="M29" s="3"/>
      <c r="N29" s="30"/>
      <c r="O29" s="13">
        <v>5</v>
      </c>
      <c r="P29" s="11">
        <v>3000</v>
      </c>
      <c r="Q29" s="11">
        <v>414600</v>
      </c>
      <c r="R29" s="10"/>
      <c r="S29" s="13"/>
      <c r="T29" s="15" t="s">
        <v>337</v>
      </c>
      <c r="U29" s="10"/>
      <c r="V29" s="10"/>
    </row>
    <row r="30" ht="16.5" spans="1:22">
      <c r="A30" s="10">
        <v>26</v>
      </c>
      <c r="B30" s="11">
        <v>5890</v>
      </c>
      <c r="C30" s="11">
        <f t="shared" si="4"/>
        <v>94020</v>
      </c>
      <c r="D30" s="12">
        <v>0.062</v>
      </c>
      <c r="E30" s="10"/>
      <c r="F30" s="13"/>
      <c r="G30" s="11">
        <v>76</v>
      </c>
      <c r="H30" s="11">
        <v>25300</v>
      </c>
      <c r="I30" s="11">
        <f t="shared" si="5"/>
        <v>826340</v>
      </c>
      <c r="J30" s="12">
        <v>0.152</v>
      </c>
      <c r="K30" s="10"/>
      <c r="L30" s="13"/>
      <c r="M30" s="3"/>
      <c r="N30" s="30"/>
      <c r="O30" s="13">
        <v>6</v>
      </c>
      <c r="P30" s="11">
        <v>3800</v>
      </c>
      <c r="Q30" s="11">
        <v>525000</v>
      </c>
      <c r="R30" s="10" t="s">
        <v>338</v>
      </c>
      <c r="S30" s="34">
        <f>SUM(P26:P44)</f>
        <v>150000</v>
      </c>
      <c r="T30" s="15" t="s">
        <v>339</v>
      </c>
      <c r="U30" s="10"/>
      <c r="V30" s="10"/>
    </row>
    <row r="31" ht="16.5" spans="1:22">
      <c r="A31" s="10">
        <v>27</v>
      </c>
      <c r="B31" s="11">
        <v>6080</v>
      </c>
      <c r="C31" s="11">
        <f t="shared" si="4"/>
        <v>100100</v>
      </c>
      <c r="D31" s="12">
        <v>0.063</v>
      </c>
      <c r="E31" s="10"/>
      <c r="F31" s="13"/>
      <c r="G31" s="11">
        <v>77</v>
      </c>
      <c r="H31" s="11">
        <v>25760</v>
      </c>
      <c r="I31" s="11">
        <f t="shared" si="5"/>
        <v>852100</v>
      </c>
      <c r="J31" s="12">
        <v>0.153</v>
      </c>
      <c r="K31" s="10"/>
      <c r="L31" s="13"/>
      <c r="M31" s="3"/>
      <c r="N31" s="30"/>
      <c r="O31" s="13">
        <v>7</v>
      </c>
      <c r="P31" s="11">
        <v>4500</v>
      </c>
      <c r="Q31" s="11">
        <v>621600</v>
      </c>
      <c r="R31" s="10"/>
      <c r="S31" s="35"/>
      <c r="T31" s="15" t="s">
        <v>340</v>
      </c>
      <c r="U31" s="10"/>
      <c r="V31" s="10"/>
    </row>
    <row r="32" ht="16.5" spans="1:22">
      <c r="A32" s="10">
        <v>28</v>
      </c>
      <c r="B32" s="11">
        <v>6260</v>
      </c>
      <c r="C32" s="11">
        <f t="shared" si="4"/>
        <v>106360</v>
      </c>
      <c r="D32" s="12">
        <v>0.064</v>
      </c>
      <c r="E32" s="10"/>
      <c r="F32" s="13"/>
      <c r="G32" s="11">
        <v>78</v>
      </c>
      <c r="H32" s="11">
        <v>26220</v>
      </c>
      <c r="I32" s="11">
        <f t="shared" si="5"/>
        <v>878320</v>
      </c>
      <c r="J32" s="12">
        <v>0.154</v>
      </c>
      <c r="K32" s="10"/>
      <c r="L32" s="13"/>
      <c r="M32" s="3"/>
      <c r="N32" s="30"/>
      <c r="O32" s="13">
        <v>8</v>
      </c>
      <c r="P32" s="11">
        <v>5200</v>
      </c>
      <c r="Q32" s="11">
        <v>718800</v>
      </c>
      <c r="R32" s="10"/>
      <c r="S32" s="35"/>
      <c r="T32" s="15" t="s">
        <v>341</v>
      </c>
      <c r="U32" s="10"/>
      <c r="V32" s="10"/>
    </row>
    <row r="33" ht="16.5" spans="1:22">
      <c r="A33" s="10">
        <v>29</v>
      </c>
      <c r="B33" s="11">
        <v>6440</v>
      </c>
      <c r="C33" s="11">
        <f t="shared" si="4"/>
        <v>112800</v>
      </c>
      <c r="D33" s="12">
        <v>0.0649999999999999</v>
      </c>
      <c r="E33" s="10"/>
      <c r="F33" s="13"/>
      <c r="G33" s="11">
        <v>79</v>
      </c>
      <c r="H33" s="11">
        <v>26680</v>
      </c>
      <c r="I33" s="11">
        <f t="shared" si="5"/>
        <v>905000</v>
      </c>
      <c r="J33" s="12">
        <v>0.155</v>
      </c>
      <c r="K33" s="10"/>
      <c r="L33" s="13"/>
      <c r="M33" s="3"/>
      <c r="N33" s="30"/>
      <c r="O33" s="13">
        <v>9</v>
      </c>
      <c r="P33" s="11">
        <v>6000</v>
      </c>
      <c r="Q33" s="11">
        <v>829200</v>
      </c>
      <c r="R33" s="10"/>
      <c r="S33" s="35"/>
      <c r="T33" s="15" t="s">
        <v>342</v>
      </c>
      <c r="U33" s="10"/>
      <c r="V33" s="10"/>
    </row>
    <row r="34" ht="16.5" spans="1:22">
      <c r="A34" s="10">
        <v>30</v>
      </c>
      <c r="B34" s="11">
        <v>6720</v>
      </c>
      <c r="C34" s="11">
        <f t="shared" si="4"/>
        <v>119520</v>
      </c>
      <c r="D34" s="12">
        <v>0.0659999999999999</v>
      </c>
      <c r="E34" s="10"/>
      <c r="F34" s="13"/>
      <c r="G34" s="11">
        <v>80</v>
      </c>
      <c r="H34" s="11">
        <v>27140</v>
      </c>
      <c r="I34" s="11">
        <f t="shared" si="5"/>
        <v>932140</v>
      </c>
      <c r="J34" s="12">
        <v>0.156</v>
      </c>
      <c r="K34" s="10"/>
      <c r="L34" s="13"/>
      <c r="M34" s="3"/>
      <c r="N34" s="30"/>
      <c r="O34" s="13">
        <v>10</v>
      </c>
      <c r="P34" s="11">
        <v>6800</v>
      </c>
      <c r="Q34" s="11">
        <v>939600</v>
      </c>
      <c r="R34" s="10"/>
      <c r="S34" s="37"/>
      <c r="T34" s="15" t="s">
        <v>343</v>
      </c>
      <c r="U34" s="10"/>
      <c r="V34" s="10"/>
    </row>
    <row r="35" ht="16.5" spans="1:22">
      <c r="A35" s="13" t="s">
        <v>31</v>
      </c>
      <c r="B35" s="38"/>
      <c r="C35" s="38"/>
      <c r="D35" s="39">
        <v>0.074</v>
      </c>
      <c r="E35" s="13">
        <v>60</v>
      </c>
      <c r="F35" s="13" t="s">
        <v>64</v>
      </c>
      <c r="G35" s="13" t="s">
        <v>31</v>
      </c>
      <c r="H35" s="38"/>
      <c r="I35" s="38"/>
      <c r="J35" s="39">
        <v>0.164</v>
      </c>
      <c r="K35" s="13">
        <v>160</v>
      </c>
      <c r="L35" s="13" t="s">
        <v>65</v>
      </c>
      <c r="M35" s="3"/>
      <c r="N35" s="30"/>
      <c r="O35" s="13">
        <v>11</v>
      </c>
      <c r="P35" s="11">
        <v>7500</v>
      </c>
      <c r="Q35" s="11">
        <v>1036800</v>
      </c>
      <c r="R35" s="10" t="s">
        <v>344</v>
      </c>
      <c r="S35" s="13" t="s">
        <v>11</v>
      </c>
      <c r="T35" s="15" t="s">
        <v>345</v>
      </c>
      <c r="U35" s="10"/>
      <c r="V35" s="10"/>
    </row>
    <row r="36" ht="16.5" spans="1:22">
      <c r="A36" s="10">
        <v>31</v>
      </c>
      <c r="B36" s="11">
        <v>7000</v>
      </c>
      <c r="C36" s="11">
        <f>B36+C34</f>
        <v>126520</v>
      </c>
      <c r="D36" s="12">
        <v>0.075</v>
      </c>
      <c r="E36" s="10"/>
      <c r="F36" s="13"/>
      <c r="G36" s="11">
        <v>81</v>
      </c>
      <c r="H36" s="11">
        <v>27600</v>
      </c>
      <c r="I36" s="11">
        <f>H36+I34</f>
        <v>959740</v>
      </c>
      <c r="J36" s="12">
        <v>0.165</v>
      </c>
      <c r="K36" s="10"/>
      <c r="L36" s="13"/>
      <c r="M36" s="3"/>
      <c r="N36" s="30"/>
      <c r="O36" s="13">
        <v>12</v>
      </c>
      <c r="P36" s="11">
        <v>8200</v>
      </c>
      <c r="Q36" s="11">
        <v>1133400</v>
      </c>
      <c r="R36" s="10"/>
      <c r="S36" s="13"/>
      <c r="T36" s="15" t="s">
        <v>346</v>
      </c>
      <c r="U36" s="10"/>
      <c r="V36" s="10"/>
    </row>
    <row r="37" ht="16.5" spans="1:22">
      <c r="A37" s="10">
        <v>32</v>
      </c>
      <c r="B37" s="11">
        <v>7270</v>
      </c>
      <c r="C37" s="11">
        <f t="shared" ref="C37:C45" si="6">B37+C36</f>
        <v>133790</v>
      </c>
      <c r="D37" s="12">
        <v>0.076</v>
      </c>
      <c r="E37" s="10"/>
      <c r="F37" s="13"/>
      <c r="G37" s="11">
        <v>82</v>
      </c>
      <c r="H37" s="11">
        <v>28060</v>
      </c>
      <c r="I37" s="11">
        <f t="shared" ref="I37:I45" si="7">H37+I36</f>
        <v>987800</v>
      </c>
      <c r="J37" s="12">
        <v>0.166</v>
      </c>
      <c r="K37" s="10"/>
      <c r="L37" s="13"/>
      <c r="M37" s="3"/>
      <c r="N37" s="30"/>
      <c r="O37" s="13">
        <v>13</v>
      </c>
      <c r="P37" s="11">
        <v>9000</v>
      </c>
      <c r="Q37" s="11">
        <v>1243800</v>
      </c>
      <c r="R37" s="10"/>
      <c r="S37" s="13"/>
      <c r="T37" s="15" t="s">
        <v>347</v>
      </c>
      <c r="U37" s="10"/>
      <c r="V37" s="10"/>
    </row>
    <row r="38" ht="16.5" spans="1:22">
      <c r="A38" s="10">
        <v>33</v>
      </c>
      <c r="B38" s="11">
        <v>7550</v>
      </c>
      <c r="C38" s="11">
        <f t="shared" si="6"/>
        <v>141340</v>
      </c>
      <c r="D38" s="12">
        <v>0.077</v>
      </c>
      <c r="E38" s="10"/>
      <c r="F38" s="13"/>
      <c r="G38" s="11">
        <v>83</v>
      </c>
      <c r="H38" s="11">
        <v>28520</v>
      </c>
      <c r="I38" s="11">
        <f t="shared" si="7"/>
        <v>1016320</v>
      </c>
      <c r="J38" s="12">
        <v>0.167</v>
      </c>
      <c r="K38" s="10"/>
      <c r="L38" s="13"/>
      <c r="M38" s="3"/>
      <c r="N38" s="30"/>
      <c r="O38" s="13">
        <v>14</v>
      </c>
      <c r="P38" s="11">
        <v>10500</v>
      </c>
      <c r="Q38" s="11">
        <v>1451400</v>
      </c>
      <c r="R38" s="10"/>
      <c r="S38" s="13"/>
      <c r="T38" s="15" t="s">
        <v>348</v>
      </c>
      <c r="U38" s="10"/>
      <c r="V38" s="10"/>
    </row>
    <row r="39" ht="16.5" spans="1:22">
      <c r="A39" s="10">
        <v>34</v>
      </c>
      <c r="B39" s="11">
        <v>7820</v>
      </c>
      <c r="C39" s="11">
        <f t="shared" si="6"/>
        <v>149160</v>
      </c>
      <c r="D39" s="12">
        <v>0.078</v>
      </c>
      <c r="E39" s="10"/>
      <c r="F39" s="13"/>
      <c r="G39" s="11">
        <v>84</v>
      </c>
      <c r="H39" s="11">
        <v>28980</v>
      </c>
      <c r="I39" s="11">
        <f t="shared" si="7"/>
        <v>1045300</v>
      </c>
      <c r="J39" s="12">
        <v>0.168</v>
      </c>
      <c r="K39" s="10"/>
      <c r="L39" s="13"/>
      <c r="M39" s="3"/>
      <c r="N39" s="30"/>
      <c r="O39" s="13">
        <v>15</v>
      </c>
      <c r="P39" s="11">
        <v>12000</v>
      </c>
      <c r="Q39" s="11">
        <v>1658400</v>
      </c>
      <c r="R39" s="10"/>
      <c r="S39" s="13"/>
      <c r="T39" s="15" t="s">
        <v>349</v>
      </c>
      <c r="U39" s="10"/>
      <c r="V39" s="10"/>
    </row>
    <row r="40" ht="16.5" spans="1:22">
      <c r="A40" s="10">
        <v>35</v>
      </c>
      <c r="B40" s="11">
        <v>8100</v>
      </c>
      <c r="C40" s="11">
        <f t="shared" si="6"/>
        <v>157260</v>
      </c>
      <c r="D40" s="12">
        <v>0.079</v>
      </c>
      <c r="E40" s="10"/>
      <c r="F40" s="13"/>
      <c r="G40" s="11">
        <v>85</v>
      </c>
      <c r="H40" s="11">
        <v>29440</v>
      </c>
      <c r="I40" s="11">
        <f t="shared" si="7"/>
        <v>1074740</v>
      </c>
      <c r="J40" s="12">
        <v>0.169</v>
      </c>
      <c r="K40" s="10"/>
      <c r="L40" s="13"/>
      <c r="M40" s="3"/>
      <c r="N40" s="30"/>
      <c r="O40" s="13">
        <v>16</v>
      </c>
      <c r="P40" s="11">
        <v>12000</v>
      </c>
      <c r="Q40" s="11">
        <v>1658400</v>
      </c>
      <c r="R40" s="10" t="s">
        <v>350</v>
      </c>
      <c r="S40" s="34">
        <f>SUM(Q26:Q44)</f>
        <v>20731200</v>
      </c>
      <c r="T40" s="15" t="s">
        <v>351</v>
      </c>
      <c r="U40" s="10"/>
      <c r="V40" s="10"/>
    </row>
    <row r="41" ht="16.5" spans="1:22">
      <c r="A41" s="10">
        <v>36</v>
      </c>
      <c r="B41" s="11">
        <v>8380</v>
      </c>
      <c r="C41" s="11">
        <f t="shared" si="6"/>
        <v>165640</v>
      </c>
      <c r="D41" s="12">
        <v>0.08</v>
      </c>
      <c r="E41" s="10"/>
      <c r="F41" s="13"/>
      <c r="G41" s="11">
        <v>86</v>
      </c>
      <c r="H41" s="11">
        <v>29900</v>
      </c>
      <c r="I41" s="11">
        <f t="shared" si="7"/>
        <v>1104640</v>
      </c>
      <c r="J41" s="12">
        <v>0.17</v>
      </c>
      <c r="K41" s="10"/>
      <c r="L41" s="13"/>
      <c r="M41" s="3"/>
      <c r="N41" s="30"/>
      <c r="O41" s="13">
        <v>17</v>
      </c>
      <c r="P41" s="11">
        <v>13500</v>
      </c>
      <c r="Q41" s="11">
        <v>1866000</v>
      </c>
      <c r="R41" s="10"/>
      <c r="S41" s="35"/>
      <c r="T41" s="15" t="s">
        <v>352</v>
      </c>
      <c r="U41" s="10"/>
      <c r="V41" s="10"/>
    </row>
    <row r="42" ht="16.5" spans="1:22">
      <c r="A42" s="10">
        <v>37</v>
      </c>
      <c r="B42" s="11">
        <v>8650</v>
      </c>
      <c r="C42" s="11">
        <f t="shared" si="6"/>
        <v>174290</v>
      </c>
      <c r="D42" s="12">
        <v>0.081</v>
      </c>
      <c r="E42" s="10"/>
      <c r="F42" s="13"/>
      <c r="G42" s="11">
        <v>87</v>
      </c>
      <c r="H42" s="11">
        <v>30360</v>
      </c>
      <c r="I42" s="11">
        <f t="shared" si="7"/>
        <v>1135000</v>
      </c>
      <c r="J42" s="12">
        <v>0.171</v>
      </c>
      <c r="K42" s="10"/>
      <c r="L42" s="13"/>
      <c r="M42" s="3"/>
      <c r="N42" s="30"/>
      <c r="O42" s="13">
        <v>18</v>
      </c>
      <c r="P42" s="11">
        <v>13500</v>
      </c>
      <c r="Q42" s="11">
        <v>1866000</v>
      </c>
      <c r="R42" s="10"/>
      <c r="S42" s="35"/>
      <c r="T42" s="15" t="s">
        <v>353</v>
      </c>
      <c r="U42" s="10"/>
      <c r="V42" s="10"/>
    </row>
    <row r="43" ht="16.5" spans="1:22">
      <c r="A43" s="10">
        <v>38</v>
      </c>
      <c r="B43" s="11">
        <v>8930</v>
      </c>
      <c r="C43" s="11">
        <f t="shared" si="6"/>
        <v>183220</v>
      </c>
      <c r="D43" s="12">
        <v>0.082</v>
      </c>
      <c r="E43" s="10"/>
      <c r="F43" s="13"/>
      <c r="G43" s="11">
        <v>88</v>
      </c>
      <c r="H43" s="11">
        <v>30820</v>
      </c>
      <c r="I43" s="11">
        <f t="shared" si="7"/>
        <v>1165820</v>
      </c>
      <c r="J43" s="12">
        <v>0.172</v>
      </c>
      <c r="K43" s="10"/>
      <c r="L43" s="13"/>
      <c r="M43" s="3"/>
      <c r="N43" s="30"/>
      <c r="O43" s="13">
        <v>19</v>
      </c>
      <c r="P43" s="11">
        <v>15000</v>
      </c>
      <c r="Q43" s="11">
        <v>2073600</v>
      </c>
      <c r="R43" s="10"/>
      <c r="S43" s="35"/>
      <c r="T43" s="15" t="s">
        <v>354</v>
      </c>
      <c r="U43" s="10"/>
      <c r="V43" s="10"/>
    </row>
    <row r="44" ht="16.5" spans="1:22">
      <c r="A44" s="10">
        <v>39</v>
      </c>
      <c r="B44" s="11">
        <v>9200</v>
      </c>
      <c r="C44" s="11">
        <f t="shared" si="6"/>
        <v>192420</v>
      </c>
      <c r="D44" s="12">
        <v>0.083</v>
      </c>
      <c r="E44" s="10"/>
      <c r="F44" s="13"/>
      <c r="G44" s="11">
        <v>89</v>
      </c>
      <c r="H44" s="11">
        <v>31280</v>
      </c>
      <c r="I44" s="11">
        <f t="shared" si="7"/>
        <v>1197100</v>
      </c>
      <c r="J44" s="12">
        <v>0.173</v>
      </c>
      <c r="K44" s="10"/>
      <c r="L44" s="13"/>
      <c r="M44" s="3"/>
      <c r="N44" s="36"/>
      <c r="O44" s="13">
        <v>20</v>
      </c>
      <c r="P44" s="11">
        <v>15000</v>
      </c>
      <c r="Q44" s="11">
        <v>2073600</v>
      </c>
      <c r="R44" s="10" t="s">
        <v>355</v>
      </c>
      <c r="S44" s="37"/>
      <c r="T44" s="15" t="s">
        <v>356</v>
      </c>
      <c r="U44" s="10"/>
      <c r="V44" s="10"/>
    </row>
    <row r="45" ht="16.5" spans="1:22">
      <c r="A45" s="10">
        <v>40</v>
      </c>
      <c r="B45" s="11">
        <v>9570</v>
      </c>
      <c r="C45" s="11">
        <f t="shared" si="6"/>
        <v>201990</v>
      </c>
      <c r="D45" s="12">
        <v>0.084</v>
      </c>
      <c r="E45" s="10"/>
      <c r="F45" s="13"/>
      <c r="G45" s="11">
        <v>90</v>
      </c>
      <c r="H45" s="11">
        <v>31740</v>
      </c>
      <c r="I45" s="11">
        <f t="shared" si="7"/>
        <v>1228840</v>
      </c>
      <c r="J45" s="12">
        <v>0.174</v>
      </c>
      <c r="K45" s="10"/>
      <c r="L45" s="13"/>
      <c r="M45" s="3"/>
      <c r="N45" s="7" t="s">
        <v>8</v>
      </c>
      <c r="O45" s="20" t="s">
        <v>9</v>
      </c>
      <c r="P45" s="20" t="s">
        <v>10</v>
      </c>
      <c r="Q45" s="20" t="s">
        <v>11</v>
      </c>
      <c r="R45" s="20" t="s">
        <v>12</v>
      </c>
      <c r="S45" s="20" t="s">
        <v>13</v>
      </c>
      <c r="T45" s="20" t="s">
        <v>14</v>
      </c>
      <c r="U45" s="20"/>
      <c r="V45" s="20"/>
    </row>
    <row r="46" ht="16.5" spans="1:22">
      <c r="A46" s="13" t="s">
        <v>31</v>
      </c>
      <c r="B46" s="38"/>
      <c r="C46" s="38"/>
      <c r="D46" s="39">
        <v>0.092</v>
      </c>
      <c r="E46" s="13">
        <v>80</v>
      </c>
      <c r="F46" s="13" t="s">
        <v>80</v>
      </c>
      <c r="G46" s="13" t="s">
        <v>31</v>
      </c>
      <c r="H46" s="38"/>
      <c r="I46" s="38"/>
      <c r="J46" s="39">
        <v>0.182</v>
      </c>
      <c r="K46" s="13">
        <v>180</v>
      </c>
      <c r="L46" s="13" t="s">
        <v>81</v>
      </c>
      <c r="M46" s="3"/>
      <c r="N46" s="29" t="s">
        <v>357</v>
      </c>
      <c r="O46" s="13">
        <v>1</v>
      </c>
      <c r="P46" s="11"/>
      <c r="Q46" s="11"/>
      <c r="R46" s="10" t="s">
        <v>358</v>
      </c>
      <c r="S46" s="40" t="s">
        <v>10</v>
      </c>
      <c r="T46" s="41" t="s">
        <v>359</v>
      </c>
      <c r="U46" s="42"/>
      <c r="V46" s="43"/>
    </row>
    <row r="47" ht="16.5" spans="1:22">
      <c r="A47" s="10">
        <v>41</v>
      </c>
      <c r="B47" s="11">
        <v>9940</v>
      </c>
      <c r="C47" s="11">
        <f>B47+C45</f>
        <v>211930</v>
      </c>
      <c r="D47" s="12">
        <v>0.093</v>
      </c>
      <c r="E47" s="10"/>
      <c r="F47" s="13"/>
      <c r="G47" s="11">
        <v>91</v>
      </c>
      <c r="H47" s="11">
        <v>32200</v>
      </c>
      <c r="I47" s="11">
        <f>H47+I45</f>
        <v>1261040</v>
      </c>
      <c r="J47" s="12">
        <v>0.183</v>
      </c>
      <c r="K47" s="10"/>
      <c r="L47" s="13"/>
      <c r="M47" s="3"/>
      <c r="N47" s="30"/>
      <c r="O47" s="13">
        <v>2</v>
      </c>
      <c r="P47" s="11">
        <v>800</v>
      </c>
      <c r="Q47" s="11">
        <v>124200</v>
      </c>
      <c r="R47" s="10"/>
      <c r="S47" s="40"/>
      <c r="T47" s="15" t="s">
        <v>360</v>
      </c>
      <c r="U47" s="10"/>
      <c r="V47" s="10"/>
    </row>
    <row r="48" ht="16.5" spans="1:22">
      <c r="A48" s="10">
        <v>42</v>
      </c>
      <c r="B48" s="11">
        <v>10310</v>
      </c>
      <c r="C48" s="11">
        <f t="shared" ref="C48:C56" si="8">B48+C47</f>
        <v>222240</v>
      </c>
      <c r="D48" s="12">
        <v>0.094</v>
      </c>
      <c r="E48" s="10"/>
      <c r="F48" s="13"/>
      <c r="G48" s="11">
        <v>92</v>
      </c>
      <c r="H48" s="11">
        <v>32660</v>
      </c>
      <c r="I48" s="11">
        <f t="shared" ref="I48:I56" si="9">H48+I47</f>
        <v>1293700</v>
      </c>
      <c r="J48" s="12">
        <v>0.184</v>
      </c>
      <c r="K48" s="10"/>
      <c r="L48" s="13"/>
      <c r="M48" s="3"/>
      <c r="N48" s="30"/>
      <c r="O48" s="13">
        <v>3</v>
      </c>
      <c r="P48" s="11">
        <v>1500</v>
      </c>
      <c r="Q48" s="11">
        <v>232800</v>
      </c>
      <c r="R48" s="10"/>
      <c r="S48" s="40"/>
      <c r="T48" s="15" t="s">
        <v>361</v>
      </c>
      <c r="U48" s="10"/>
      <c r="V48" s="10"/>
    </row>
    <row r="49" ht="16.5" spans="1:22">
      <c r="A49" s="10">
        <v>43</v>
      </c>
      <c r="B49" s="11">
        <v>10680</v>
      </c>
      <c r="C49" s="11">
        <f t="shared" si="8"/>
        <v>232920</v>
      </c>
      <c r="D49" s="12">
        <v>0.095</v>
      </c>
      <c r="E49" s="10"/>
      <c r="F49" s="13"/>
      <c r="G49" s="11">
        <v>93</v>
      </c>
      <c r="H49" s="11">
        <v>33120</v>
      </c>
      <c r="I49" s="11">
        <f t="shared" si="9"/>
        <v>1326820</v>
      </c>
      <c r="J49" s="12">
        <v>0.185</v>
      </c>
      <c r="K49" s="10"/>
      <c r="L49" s="13"/>
      <c r="M49" s="3"/>
      <c r="N49" s="30"/>
      <c r="O49" s="13">
        <v>4</v>
      </c>
      <c r="P49" s="11">
        <v>2200</v>
      </c>
      <c r="Q49" s="11">
        <v>342000</v>
      </c>
      <c r="R49" s="10"/>
      <c r="S49" s="40"/>
      <c r="T49" s="15" t="s">
        <v>362</v>
      </c>
      <c r="U49" s="10"/>
      <c r="V49" s="10"/>
    </row>
    <row r="50" ht="16.5" spans="1:22">
      <c r="A50" s="10">
        <v>44</v>
      </c>
      <c r="B50" s="11">
        <v>11040</v>
      </c>
      <c r="C50" s="11">
        <f t="shared" si="8"/>
        <v>243960</v>
      </c>
      <c r="D50" s="12">
        <v>0.096</v>
      </c>
      <c r="E50" s="10"/>
      <c r="F50" s="13"/>
      <c r="G50" s="11">
        <v>94</v>
      </c>
      <c r="H50" s="11">
        <v>33580</v>
      </c>
      <c r="I50" s="11">
        <f t="shared" si="9"/>
        <v>1360400</v>
      </c>
      <c r="J50" s="12">
        <v>0.186</v>
      </c>
      <c r="K50" s="10"/>
      <c r="L50" s="13"/>
      <c r="M50" s="3"/>
      <c r="N50" s="30"/>
      <c r="O50" s="13">
        <v>5</v>
      </c>
      <c r="P50" s="11">
        <v>3000</v>
      </c>
      <c r="Q50" s="11">
        <v>466200</v>
      </c>
      <c r="R50" s="10"/>
      <c r="S50" s="40"/>
      <c r="T50" s="15" t="s">
        <v>363</v>
      </c>
      <c r="U50" s="10"/>
      <c r="V50" s="10"/>
    </row>
    <row r="51" ht="16.5" spans="1:22">
      <c r="A51" s="10">
        <v>45</v>
      </c>
      <c r="B51" s="11">
        <v>11410</v>
      </c>
      <c r="C51" s="11">
        <f t="shared" si="8"/>
        <v>255370</v>
      </c>
      <c r="D51" s="12">
        <v>0.097</v>
      </c>
      <c r="E51" s="10"/>
      <c r="F51" s="13"/>
      <c r="G51" s="11">
        <v>95</v>
      </c>
      <c r="H51" s="11">
        <v>34040</v>
      </c>
      <c r="I51" s="11">
        <f t="shared" si="9"/>
        <v>1394440</v>
      </c>
      <c r="J51" s="12">
        <v>0.187</v>
      </c>
      <c r="K51" s="10"/>
      <c r="L51" s="13"/>
      <c r="M51" s="3"/>
      <c r="N51" s="30"/>
      <c r="O51" s="13">
        <v>6</v>
      </c>
      <c r="P51" s="11">
        <v>3800</v>
      </c>
      <c r="Q51" s="11">
        <v>591000</v>
      </c>
      <c r="R51" s="10" t="s">
        <v>344</v>
      </c>
      <c r="S51" s="34">
        <f>SUM(P47:P65)</f>
        <v>150000</v>
      </c>
      <c r="T51" s="15" t="s">
        <v>364</v>
      </c>
      <c r="U51" s="10"/>
      <c r="V51" s="10"/>
    </row>
    <row r="52" ht="16.5" spans="1:22">
      <c r="A52" s="10">
        <v>46</v>
      </c>
      <c r="B52" s="11">
        <v>11780</v>
      </c>
      <c r="C52" s="11">
        <f t="shared" si="8"/>
        <v>267150</v>
      </c>
      <c r="D52" s="12">
        <v>0.098</v>
      </c>
      <c r="E52" s="10"/>
      <c r="F52" s="13"/>
      <c r="G52" s="11">
        <v>96</v>
      </c>
      <c r="H52" s="11">
        <v>34500</v>
      </c>
      <c r="I52" s="11">
        <f t="shared" si="9"/>
        <v>1428940</v>
      </c>
      <c r="J52" s="12">
        <v>0.188</v>
      </c>
      <c r="K52" s="10"/>
      <c r="L52" s="13"/>
      <c r="M52" s="3"/>
      <c r="N52" s="30"/>
      <c r="O52" s="13">
        <v>7</v>
      </c>
      <c r="P52" s="11">
        <v>4500</v>
      </c>
      <c r="Q52" s="11">
        <v>699600</v>
      </c>
      <c r="R52" s="10"/>
      <c r="S52" s="35"/>
      <c r="T52" s="15" t="s">
        <v>365</v>
      </c>
      <c r="U52" s="10"/>
      <c r="V52" s="10"/>
    </row>
    <row r="53" ht="16.5" spans="1:22">
      <c r="A53" s="10">
        <v>47</v>
      </c>
      <c r="B53" s="11">
        <v>12150</v>
      </c>
      <c r="C53" s="11">
        <f t="shared" si="8"/>
        <v>279300</v>
      </c>
      <c r="D53" s="12">
        <v>0.099</v>
      </c>
      <c r="E53" s="10"/>
      <c r="F53" s="13"/>
      <c r="G53" s="11">
        <v>97</v>
      </c>
      <c r="H53" s="11">
        <v>34960</v>
      </c>
      <c r="I53" s="11">
        <f t="shared" si="9"/>
        <v>1463900</v>
      </c>
      <c r="J53" s="12">
        <v>0.189</v>
      </c>
      <c r="K53" s="10"/>
      <c r="L53" s="13"/>
      <c r="M53" s="3"/>
      <c r="N53" s="30"/>
      <c r="O53" s="13">
        <v>8</v>
      </c>
      <c r="P53" s="11">
        <v>5200</v>
      </c>
      <c r="Q53" s="11">
        <v>808200</v>
      </c>
      <c r="R53" s="10"/>
      <c r="S53" s="35"/>
      <c r="T53" s="15" t="s">
        <v>366</v>
      </c>
      <c r="U53" s="10"/>
      <c r="V53" s="10"/>
    </row>
    <row r="54" ht="16.5" spans="1:22">
      <c r="A54" s="10">
        <v>48</v>
      </c>
      <c r="B54" s="11">
        <v>12520</v>
      </c>
      <c r="C54" s="11">
        <f t="shared" si="8"/>
        <v>291820</v>
      </c>
      <c r="D54" s="12">
        <v>0.1</v>
      </c>
      <c r="E54" s="10"/>
      <c r="F54" s="13"/>
      <c r="G54" s="11">
        <v>98</v>
      </c>
      <c r="H54" s="11">
        <v>35420</v>
      </c>
      <c r="I54" s="11">
        <f t="shared" si="9"/>
        <v>1499320</v>
      </c>
      <c r="J54" s="12">
        <v>0.19</v>
      </c>
      <c r="K54" s="10"/>
      <c r="L54" s="13"/>
      <c r="M54" s="3"/>
      <c r="N54" s="30"/>
      <c r="O54" s="13">
        <v>9</v>
      </c>
      <c r="P54" s="11">
        <v>6000</v>
      </c>
      <c r="Q54" s="11">
        <v>933000</v>
      </c>
      <c r="R54" s="10"/>
      <c r="S54" s="35"/>
      <c r="T54" s="15" t="s">
        <v>367</v>
      </c>
      <c r="U54" s="10"/>
      <c r="V54" s="10"/>
    </row>
    <row r="55" ht="16.5" spans="1:22">
      <c r="A55" s="10">
        <v>49</v>
      </c>
      <c r="B55" s="11">
        <v>12880</v>
      </c>
      <c r="C55" s="11">
        <f t="shared" si="8"/>
        <v>304700</v>
      </c>
      <c r="D55" s="12">
        <v>0.101</v>
      </c>
      <c r="E55" s="10"/>
      <c r="F55" s="13"/>
      <c r="G55" s="11">
        <v>99</v>
      </c>
      <c r="H55" s="11">
        <v>35880</v>
      </c>
      <c r="I55" s="11">
        <f t="shared" si="9"/>
        <v>1535200</v>
      </c>
      <c r="J55" s="12">
        <v>0.191</v>
      </c>
      <c r="K55" s="10"/>
      <c r="L55" s="13"/>
      <c r="M55" s="3"/>
      <c r="N55" s="30"/>
      <c r="O55" s="13">
        <v>10</v>
      </c>
      <c r="P55" s="11">
        <v>6800</v>
      </c>
      <c r="Q55" s="11">
        <v>1057200</v>
      </c>
      <c r="R55" s="10"/>
      <c r="S55" s="37"/>
      <c r="T55" s="15" t="s">
        <v>368</v>
      </c>
      <c r="U55" s="10"/>
      <c r="V55" s="10"/>
    </row>
    <row r="56" ht="16.5" spans="1:22">
      <c r="A56" s="10">
        <v>50</v>
      </c>
      <c r="B56" s="11">
        <v>13340</v>
      </c>
      <c r="C56" s="11">
        <f t="shared" si="8"/>
        <v>318040</v>
      </c>
      <c r="D56" s="12">
        <v>0.102</v>
      </c>
      <c r="E56" s="10"/>
      <c r="F56" s="13"/>
      <c r="G56" s="11">
        <v>100</v>
      </c>
      <c r="H56" s="11">
        <v>36340</v>
      </c>
      <c r="I56" s="11">
        <f t="shared" si="9"/>
        <v>1571540</v>
      </c>
      <c r="J56" s="12">
        <v>0.192</v>
      </c>
      <c r="K56" s="10"/>
      <c r="L56" s="13"/>
      <c r="M56" s="3"/>
      <c r="N56" s="30"/>
      <c r="O56" s="13">
        <v>11</v>
      </c>
      <c r="P56" s="11">
        <v>7500</v>
      </c>
      <c r="Q56" s="11">
        <v>1166400</v>
      </c>
      <c r="R56" s="10" t="s">
        <v>369</v>
      </c>
      <c r="S56" s="40" t="s">
        <v>11</v>
      </c>
      <c r="T56" s="15" t="s">
        <v>370</v>
      </c>
      <c r="U56" s="10"/>
      <c r="V56" s="10"/>
    </row>
    <row r="57" ht="16.5" spans="1:22">
      <c r="A57" s="13" t="s">
        <v>31</v>
      </c>
      <c r="B57" s="38"/>
      <c r="C57" s="38"/>
      <c r="D57" s="39">
        <v>0.11</v>
      </c>
      <c r="E57" s="13">
        <v>100</v>
      </c>
      <c r="F57" s="13" t="s">
        <v>16</v>
      </c>
      <c r="G57" s="13" t="s">
        <v>31</v>
      </c>
      <c r="H57" s="38"/>
      <c r="I57" s="38"/>
      <c r="J57" s="39">
        <v>0.2</v>
      </c>
      <c r="K57" s="13">
        <v>200</v>
      </c>
      <c r="L57" s="13" t="s">
        <v>94</v>
      </c>
      <c r="M57" s="3"/>
      <c r="N57" s="30"/>
      <c r="O57" s="13">
        <v>12</v>
      </c>
      <c r="P57" s="11">
        <v>8200</v>
      </c>
      <c r="Q57" s="11">
        <v>1275000</v>
      </c>
      <c r="R57" s="10"/>
      <c r="S57" s="40"/>
      <c r="T57" s="15" t="s">
        <v>371</v>
      </c>
      <c r="U57" s="10"/>
      <c r="V57" s="10"/>
    </row>
    <row r="58" ht="16.5" spans="1:22">
      <c r="A58" s="44" t="s">
        <v>96</v>
      </c>
      <c r="B58" s="44"/>
      <c r="C58" s="45"/>
      <c r="D58" s="45"/>
      <c r="E58" s="44" t="s">
        <v>97</v>
      </c>
      <c r="F58" s="44">
        <f>I56</f>
        <v>1571540</v>
      </c>
      <c r="G58" s="45"/>
      <c r="H58" s="45"/>
      <c r="I58" s="44" t="s">
        <v>6</v>
      </c>
      <c r="J58" s="44">
        <f>E13+E24+E35+E46+E57+K13+K24+K35+K46+K57</f>
        <v>1100</v>
      </c>
      <c r="K58" s="45"/>
      <c r="L58" s="45"/>
      <c r="M58" s="3"/>
      <c r="N58" s="30"/>
      <c r="O58" s="13">
        <v>13</v>
      </c>
      <c r="P58" s="11">
        <v>9000</v>
      </c>
      <c r="Q58" s="11">
        <v>1399200</v>
      </c>
      <c r="R58" s="10"/>
      <c r="S58" s="40"/>
      <c r="T58" s="15" t="s">
        <v>372</v>
      </c>
      <c r="U58" s="10"/>
      <c r="V58" s="10"/>
    </row>
    <row r="59" ht="16.5" spans="1:22">
      <c r="A59" s="44"/>
      <c r="B59" s="44"/>
      <c r="C59" s="45"/>
      <c r="D59" s="45"/>
      <c r="E59" s="44"/>
      <c r="F59" s="44"/>
      <c r="G59" s="45"/>
      <c r="H59" s="45"/>
      <c r="I59" s="44"/>
      <c r="J59" s="44"/>
      <c r="K59" s="45"/>
      <c r="L59" s="45"/>
      <c r="M59" s="3"/>
      <c r="N59" s="30"/>
      <c r="O59" s="13">
        <v>14</v>
      </c>
      <c r="P59" s="11">
        <v>10500</v>
      </c>
      <c r="Q59" s="11">
        <v>1632600</v>
      </c>
      <c r="R59" s="10"/>
      <c r="S59" s="40"/>
      <c r="T59" s="15" t="s">
        <v>373</v>
      </c>
      <c r="U59" s="10"/>
      <c r="V59" s="10"/>
    </row>
    <row r="60" ht="16.5" spans="1:22">
      <c r="A60" s="3"/>
      <c r="B60" s="3"/>
      <c r="C60" s="3"/>
      <c r="D60" s="3"/>
      <c r="E60" s="3"/>
      <c r="F60" s="46"/>
      <c r="G60" s="3"/>
      <c r="H60" s="3"/>
      <c r="I60" s="3"/>
      <c r="J60" s="3"/>
      <c r="K60" s="3"/>
      <c r="L60" s="46"/>
      <c r="M60" s="3"/>
      <c r="N60" s="30"/>
      <c r="O60" s="13">
        <v>15</v>
      </c>
      <c r="P60" s="11">
        <v>12000</v>
      </c>
      <c r="Q60" s="11">
        <v>1866000</v>
      </c>
      <c r="R60" s="10"/>
      <c r="S60" s="40"/>
      <c r="T60" s="15" t="s">
        <v>374</v>
      </c>
      <c r="U60" s="10"/>
      <c r="V60" s="10"/>
    </row>
    <row r="61" ht="16.5" spans="1:22">
      <c r="A61" s="3"/>
      <c r="B61" s="3"/>
      <c r="C61" s="3"/>
      <c r="D61" s="3"/>
      <c r="E61" s="3"/>
      <c r="F61" s="46"/>
      <c r="G61" s="3"/>
      <c r="H61" s="3"/>
      <c r="I61" s="3"/>
      <c r="J61" s="3"/>
      <c r="K61" s="3"/>
      <c r="L61" s="46"/>
      <c r="M61" s="3"/>
      <c r="N61" s="30"/>
      <c r="O61" s="13">
        <v>16</v>
      </c>
      <c r="P61" s="11">
        <v>12000</v>
      </c>
      <c r="Q61" s="11">
        <v>1866000</v>
      </c>
      <c r="R61" s="10" t="s">
        <v>375</v>
      </c>
      <c r="S61" s="34">
        <f>SUM(Q47:Q65)</f>
        <v>23323800</v>
      </c>
      <c r="T61" s="15" t="s">
        <v>376</v>
      </c>
      <c r="U61" s="10"/>
      <c r="V61" s="10"/>
    </row>
    <row r="62" ht="16.5" spans="1:22">
      <c r="A62" s="3"/>
      <c r="B62" s="3"/>
      <c r="C62" s="3"/>
      <c r="D62" s="3"/>
      <c r="E62" s="3"/>
      <c r="F62" s="46"/>
      <c r="G62" s="3"/>
      <c r="H62" s="3"/>
      <c r="I62" s="3"/>
      <c r="J62" s="3"/>
      <c r="K62" s="3"/>
      <c r="L62" s="46"/>
      <c r="M62" s="3"/>
      <c r="N62" s="30"/>
      <c r="O62" s="13">
        <v>17</v>
      </c>
      <c r="P62" s="11">
        <v>13500</v>
      </c>
      <c r="Q62" s="11">
        <v>2099400</v>
      </c>
      <c r="R62" s="10"/>
      <c r="S62" s="35"/>
      <c r="T62" s="15" t="s">
        <v>377</v>
      </c>
      <c r="U62" s="10"/>
      <c r="V62" s="10"/>
    </row>
    <row r="63" ht="16.5" spans="1:22">
      <c r="A63" s="3"/>
      <c r="B63" s="3"/>
      <c r="C63" s="3"/>
      <c r="D63" s="3"/>
      <c r="E63" s="3"/>
      <c r="F63" s="46"/>
      <c r="G63" s="3"/>
      <c r="H63" s="3"/>
      <c r="I63" s="3"/>
      <c r="J63" s="3"/>
      <c r="K63" s="3"/>
      <c r="L63" s="46"/>
      <c r="M63" s="3"/>
      <c r="N63" s="30"/>
      <c r="O63" s="13">
        <v>18</v>
      </c>
      <c r="P63" s="11">
        <v>13500</v>
      </c>
      <c r="Q63" s="11">
        <v>2099400</v>
      </c>
      <c r="R63" s="10"/>
      <c r="S63" s="35"/>
      <c r="T63" s="15" t="s">
        <v>378</v>
      </c>
      <c r="U63" s="10"/>
      <c r="V63" s="10"/>
    </row>
    <row r="64" ht="16.5" spans="1:22">
      <c r="A64" s="3"/>
      <c r="B64" s="3"/>
      <c r="C64" s="3"/>
      <c r="D64" s="3"/>
      <c r="E64" s="3"/>
      <c r="F64" s="46"/>
      <c r="G64" s="3"/>
      <c r="H64" s="3"/>
      <c r="I64" s="3"/>
      <c r="J64" s="3"/>
      <c r="K64" s="3"/>
      <c r="L64" s="46"/>
      <c r="M64" s="3"/>
      <c r="N64" s="30"/>
      <c r="O64" s="13">
        <v>19</v>
      </c>
      <c r="P64" s="11">
        <v>15000</v>
      </c>
      <c r="Q64" s="11">
        <v>2332800</v>
      </c>
      <c r="R64" s="10"/>
      <c r="S64" s="35"/>
      <c r="T64" s="15" t="s">
        <v>379</v>
      </c>
      <c r="U64" s="10"/>
      <c r="V64" s="10"/>
    </row>
    <row r="65" ht="16.5" spans="1:22">
      <c r="A65" s="3"/>
      <c r="B65" s="3"/>
      <c r="C65" s="3"/>
      <c r="D65" s="3"/>
      <c r="E65" s="3"/>
      <c r="F65" s="46"/>
      <c r="G65" s="3"/>
      <c r="H65" s="3"/>
      <c r="I65" s="3"/>
      <c r="J65" s="3"/>
      <c r="K65" s="3"/>
      <c r="L65" s="46"/>
      <c r="M65" s="3"/>
      <c r="N65" s="36"/>
      <c r="O65" s="13">
        <v>20</v>
      </c>
      <c r="P65" s="11">
        <v>15000</v>
      </c>
      <c r="Q65" s="11">
        <v>2332800</v>
      </c>
      <c r="R65" s="10" t="s">
        <v>380</v>
      </c>
      <c r="S65" s="37"/>
      <c r="T65" s="15" t="s">
        <v>381</v>
      </c>
      <c r="U65" s="10"/>
      <c r="V65" s="10"/>
    </row>
    <row r="66" ht="16.5" spans="1:22">
      <c r="A66" s="3"/>
      <c r="B66" s="3"/>
      <c r="C66" s="3"/>
      <c r="D66" s="3"/>
      <c r="E66" s="3"/>
      <c r="F66" s="46"/>
      <c r="G66" s="3"/>
      <c r="H66" s="3"/>
      <c r="I66" s="3"/>
      <c r="J66" s="3"/>
      <c r="K66" s="3"/>
      <c r="L66" s="46"/>
      <c r="M66" s="3"/>
      <c r="N66" s="20" t="s">
        <v>8</v>
      </c>
      <c r="O66" s="20"/>
      <c r="P66" s="20" t="s">
        <v>172</v>
      </c>
      <c r="Q66" s="20" t="s">
        <v>7</v>
      </c>
      <c r="R66" s="20"/>
      <c r="S66" s="20" t="s">
        <v>82</v>
      </c>
      <c r="T66" s="20" t="s">
        <v>14</v>
      </c>
      <c r="U66" s="20"/>
      <c r="V66" s="20"/>
    </row>
    <row r="67" ht="16.5" spans="1:22">
      <c r="A67" s="3"/>
      <c r="B67" s="3"/>
      <c r="C67" s="3"/>
      <c r="D67" s="3"/>
      <c r="E67" s="3"/>
      <c r="F67" s="46"/>
      <c r="G67" s="3"/>
      <c r="H67" s="3"/>
      <c r="I67" s="3"/>
      <c r="J67" s="3"/>
      <c r="K67" s="3"/>
      <c r="L67" s="46"/>
      <c r="M67" s="3"/>
      <c r="N67" s="47" t="s">
        <v>382</v>
      </c>
      <c r="O67" s="48"/>
      <c r="P67" s="13">
        <v>1</v>
      </c>
      <c r="Q67" s="10" t="s">
        <v>15</v>
      </c>
      <c r="R67" s="10"/>
      <c r="S67" s="10">
        <v>1</v>
      </c>
      <c r="T67" s="15" t="s">
        <v>383</v>
      </c>
      <c r="U67" s="10"/>
      <c r="V67" s="10"/>
    </row>
    <row r="68" ht="16.5" spans="1:22">
      <c r="A68" s="3"/>
      <c r="B68" s="3"/>
      <c r="C68" s="3"/>
      <c r="D68" s="3"/>
      <c r="E68" s="3"/>
      <c r="F68" s="46"/>
      <c r="G68" s="3"/>
      <c r="H68" s="3"/>
      <c r="I68" s="3"/>
      <c r="J68" s="3"/>
      <c r="K68" s="3"/>
      <c r="L68" s="46"/>
      <c r="M68" s="3"/>
      <c r="N68" s="49"/>
      <c r="O68" s="50"/>
      <c r="P68" s="13">
        <v>10</v>
      </c>
      <c r="Q68" s="10" t="s">
        <v>32</v>
      </c>
      <c r="R68" s="10"/>
      <c r="S68" s="10">
        <v>2</v>
      </c>
      <c r="T68" s="15" t="s">
        <v>384</v>
      </c>
      <c r="U68" s="10"/>
      <c r="V68" s="10"/>
    </row>
    <row r="69" ht="16.5" spans="1:22">
      <c r="A69" s="3"/>
      <c r="B69" s="3"/>
      <c r="C69" s="3"/>
      <c r="D69" s="3"/>
      <c r="E69" s="3"/>
      <c r="F69" s="46"/>
      <c r="G69" s="3"/>
      <c r="H69" s="3"/>
      <c r="I69" s="3"/>
      <c r="J69" s="3"/>
      <c r="K69" s="3"/>
      <c r="L69" s="46"/>
      <c r="M69" s="3"/>
      <c r="N69" s="49"/>
      <c r="O69" s="50"/>
      <c r="P69" s="13">
        <v>20</v>
      </c>
      <c r="Q69" s="10" t="s">
        <v>48</v>
      </c>
      <c r="R69" s="10"/>
      <c r="S69" s="10">
        <v>3</v>
      </c>
      <c r="T69" s="15" t="s">
        <v>385</v>
      </c>
      <c r="U69" s="10"/>
      <c r="V69" s="10"/>
    </row>
    <row r="70" ht="16.5" spans="1:22">
      <c r="A70" s="3"/>
      <c r="B70" s="3"/>
      <c r="C70" s="3"/>
      <c r="D70" s="3"/>
      <c r="E70" s="3"/>
      <c r="F70" s="46"/>
      <c r="G70" s="3"/>
      <c r="H70" s="3"/>
      <c r="I70" s="3"/>
      <c r="J70" s="3"/>
      <c r="K70" s="3"/>
      <c r="L70" s="46"/>
      <c r="M70" s="3"/>
      <c r="N70" s="49"/>
      <c r="O70" s="50"/>
      <c r="P70" s="13">
        <v>30</v>
      </c>
      <c r="Q70" s="10" t="s">
        <v>64</v>
      </c>
      <c r="R70" s="10"/>
      <c r="S70" s="10">
        <v>4</v>
      </c>
      <c r="T70" s="15" t="s">
        <v>386</v>
      </c>
      <c r="U70" s="10"/>
      <c r="V70" s="10"/>
    </row>
    <row r="71" ht="16.5" spans="1:22">
      <c r="A71" s="3"/>
      <c r="B71" s="3"/>
      <c r="C71" s="3"/>
      <c r="D71" s="3"/>
      <c r="E71" s="3"/>
      <c r="F71" s="46"/>
      <c r="G71" s="3"/>
      <c r="H71" s="3"/>
      <c r="I71" s="3"/>
      <c r="J71" s="3"/>
      <c r="K71" s="3"/>
      <c r="L71" s="46"/>
      <c r="M71" s="3"/>
      <c r="N71" s="49"/>
      <c r="O71" s="50"/>
      <c r="P71" s="13">
        <v>40</v>
      </c>
      <c r="Q71" s="10" t="s">
        <v>80</v>
      </c>
      <c r="R71" s="10"/>
      <c r="S71" s="10">
        <v>5</v>
      </c>
      <c r="T71" s="15" t="s">
        <v>387</v>
      </c>
      <c r="U71" s="10"/>
      <c r="V71" s="10"/>
    </row>
    <row r="72" ht="16.5" spans="1:22">
      <c r="A72" s="3"/>
      <c r="B72" s="3"/>
      <c r="C72" s="3"/>
      <c r="D72" s="3"/>
      <c r="E72" s="3"/>
      <c r="F72" s="46"/>
      <c r="G72" s="3"/>
      <c r="H72" s="3"/>
      <c r="I72" s="3"/>
      <c r="J72" s="3"/>
      <c r="K72" s="3"/>
      <c r="L72" s="46"/>
      <c r="M72" s="3"/>
      <c r="N72" s="49"/>
      <c r="O72" s="50"/>
      <c r="P72" s="13">
        <v>50</v>
      </c>
      <c r="Q72" s="10" t="s">
        <v>16</v>
      </c>
      <c r="R72" s="10"/>
      <c r="S72" s="10">
        <v>6</v>
      </c>
      <c r="T72" s="15" t="s">
        <v>388</v>
      </c>
      <c r="U72" s="10"/>
      <c r="V72" s="10"/>
    </row>
    <row r="73" ht="16.5" spans="1:22">
      <c r="A73" s="3"/>
      <c r="B73" s="3"/>
      <c r="C73" s="3"/>
      <c r="D73" s="3"/>
      <c r="E73" s="3"/>
      <c r="F73" s="46"/>
      <c r="G73" s="3"/>
      <c r="H73" s="3"/>
      <c r="I73" s="3"/>
      <c r="J73" s="3"/>
      <c r="K73" s="3"/>
      <c r="L73" s="46"/>
      <c r="M73" s="3"/>
      <c r="N73" s="49"/>
      <c r="O73" s="50"/>
      <c r="P73" s="13">
        <v>60</v>
      </c>
      <c r="Q73" s="10" t="s">
        <v>33</v>
      </c>
      <c r="R73" s="10"/>
      <c r="S73" s="10">
        <v>7</v>
      </c>
      <c r="T73" s="15" t="s">
        <v>389</v>
      </c>
      <c r="U73" s="10"/>
      <c r="V73" s="10"/>
    </row>
    <row r="74" ht="16.5" spans="1:22">
      <c r="A74" s="3"/>
      <c r="B74" s="3"/>
      <c r="C74" s="3"/>
      <c r="D74" s="3"/>
      <c r="E74" s="3"/>
      <c r="F74" s="46"/>
      <c r="G74" s="3"/>
      <c r="H74" s="3"/>
      <c r="I74" s="3"/>
      <c r="J74" s="3"/>
      <c r="K74" s="3"/>
      <c r="L74" s="46"/>
      <c r="M74" s="3"/>
      <c r="N74" s="49"/>
      <c r="O74" s="50"/>
      <c r="P74" s="13">
        <v>70</v>
      </c>
      <c r="Q74" s="10" t="s">
        <v>49</v>
      </c>
      <c r="R74" s="10"/>
      <c r="S74" s="10">
        <v>8</v>
      </c>
      <c r="T74" s="15" t="s">
        <v>390</v>
      </c>
      <c r="U74" s="10"/>
      <c r="V74" s="10"/>
    </row>
    <row r="75" ht="16.5" spans="1:22">
      <c r="A75" s="3"/>
      <c r="B75" s="3"/>
      <c r="C75" s="3"/>
      <c r="D75" s="3"/>
      <c r="E75" s="3"/>
      <c r="F75" s="46"/>
      <c r="G75" s="3"/>
      <c r="H75" s="3"/>
      <c r="I75" s="3"/>
      <c r="J75" s="3"/>
      <c r="K75" s="3"/>
      <c r="L75" s="46"/>
      <c r="M75" s="3"/>
      <c r="N75" s="49"/>
      <c r="O75" s="50"/>
      <c r="P75" s="13">
        <v>80</v>
      </c>
      <c r="Q75" s="10" t="s">
        <v>65</v>
      </c>
      <c r="R75" s="10"/>
      <c r="S75" s="10">
        <v>9</v>
      </c>
      <c r="T75" s="15" t="s">
        <v>391</v>
      </c>
      <c r="U75" s="10"/>
      <c r="V75" s="10"/>
    </row>
    <row r="76" ht="16.5" spans="1:22">
      <c r="A76" s="3"/>
      <c r="B76" s="3"/>
      <c r="C76" s="3"/>
      <c r="D76" s="3"/>
      <c r="E76" s="3"/>
      <c r="F76" s="46"/>
      <c r="G76" s="3"/>
      <c r="H76" s="3"/>
      <c r="I76" s="3"/>
      <c r="J76" s="3"/>
      <c r="K76" s="3"/>
      <c r="L76" s="46"/>
      <c r="M76" s="3"/>
      <c r="N76" s="49"/>
      <c r="O76" s="50"/>
      <c r="P76" s="13">
        <v>90</v>
      </c>
      <c r="Q76" s="10" t="s">
        <v>81</v>
      </c>
      <c r="R76" s="10"/>
      <c r="S76" s="10">
        <v>10</v>
      </c>
      <c r="T76" s="15" t="s">
        <v>392</v>
      </c>
      <c r="U76" s="10"/>
      <c r="V76" s="10"/>
    </row>
    <row r="77" ht="16.5" spans="1:22">
      <c r="A77" s="3"/>
      <c r="B77" s="3"/>
      <c r="C77" s="3"/>
      <c r="D77" s="3"/>
      <c r="E77" s="3"/>
      <c r="F77" s="46"/>
      <c r="G77" s="3"/>
      <c r="H77" s="3"/>
      <c r="I77" s="3"/>
      <c r="J77" s="3"/>
      <c r="K77" s="3"/>
      <c r="L77" s="46"/>
      <c r="M77" s="3"/>
      <c r="N77" s="51"/>
      <c r="O77" s="52"/>
      <c r="P77" s="13">
        <v>100</v>
      </c>
      <c r="Q77" s="10" t="s">
        <v>94</v>
      </c>
      <c r="R77" s="10"/>
      <c r="S77" s="10">
        <v>11</v>
      </c>
      <c r="T77" s="15" t="s">
        <v>393</v>
      </c>
      <c r="U77" s="10"/>
      <c r="V77" s="10"/>
    </row>
    <row r="78" ht="16.5" spans="1:22">
      <c r="A78" s="3"/>
      <c r="B78" s="3"/>
      <c r="C78" s="3"/>
      <c r="D78" s="3"/>
      <c r="E78" s="3"/>
      <c r="F78" s="46"/>
      <c r="G78" s="3"/>
      <c r="H78" s="3"/>
      <c r="I78" s="3"/>
      <c r="J78" s="3"/>
      <c r="K78" s="3"/>
      <c r="L78" s="46"/>
      <c r="M78" s="3"/>
      <c r="N78" s="44" t="s">
        <v>96</v>
      </c>
      <c r="O78" s="44"/>
      <c r="P78" s="45"/>
      <c r="Q78" s="44" t="s">
        <v>10</v>
      </c>
      <c r="R78" s="44">
        <f>S5+S16+S30+S51</f>
        <v>345000</v>
      </c>
      <c r="S78" s="3"/>
      <c r="T78" s="44" t="s">
        <v>11</v>
      </c>
      <c r="U78" s="44">
        <f>S10+S21+S40+S61</f>
        <v>48718200</v>
      </c>
      <c r="V78" s="3"/>
    </row>
    <row r="79" ht="16.5" spans="1:22">
      <c r="A79" s="3"/>
      <c r="B79" s="3"/>
      <c r="C79" s="3"/>
      <c r="D79" s="3"/>
      <c r="E79" s="3"/>
      <c r="F79" s="46"/>
      <c r="G79" s="3"/>
      <c r="H79" s="3"/>
      <c r="I79" s="3"/>
      <c r="J79" s="3"/>
      <c r="K79" s="3"/>
      <c r="L79" s="46"/>
      <c r="M79" s="3"/>
      <c r="N79" s="44"/>
      <c r="O79" s="44"/>
      <c r="P79" s="45"/>
      <c r="Q79" s="44"/>
      <c r="R79" s="44"/>
      <c r="S79" s="3"/>
      <c r="T79" s="44"/>
      <c r="U79" s="44"/>
      <c r="V79" s="3"/>
    </row>
  </sheetData>
  <mergeCells count="150">
    <mergeCell ref="A1:B1"/>
    <mergeCell ref="C1:L1"/>
    <mergeCell ref="N1:O1"/>
    <mergeCell ref="P1:V1"/>
    <mergeCell ref="T2:V2"/>
    <mergeCell ref="T3:V3"/>
    <mergeCell ref="T4:V4"/>
    <mergeCell ref="T5:V5"/>
    <mergeCell ref="T6:V6"/>
    <mergeCell ref="T7:V7"/>
    <mergeCell ref="T8:V8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T46:V46"/>
    <mergeCell ref="T47:V47"/>
    <mergeCell ref="T48:V48"/>
    <mergeCell ref="T49:V49"/>
    <mergeCell ref="T50:V50"/>
    <mergeCell ref="T51:V51"/>
    <mergeCell ref="T52:V52"/>
    <mergeCell ref="T53:V53"/>
    <mergeCell ref="T54:V54"/>
    <mergeCell ref="T55:V55"/>
    <mergeCell ref="T56:V56"/>
    <mergeCell ref="T57:V57"/>
    <mergeCell ref="T58:V58"/>
    <mergeCell ref="T59:V59"/>
    <mergeCell ref="T60:V60"/>
    <mergeCell ref="T61:V61"/>
    <mergeCell ref="T62:V62"/>
    <mergeCell ref="T63:V63"/>
    <mergeCell ref="T64:V64"/>
    <mergeCell ref="T65:V65"/>
    <mergeCell ref="N66:O66"/>
    <mergeCell ref="Q66:R66"/>
    <mergeCell ref="T66:V66"/>
    <mergeCell ref="Q67:R67"/>
    <mergeCell ref="T67:V67"/>
    <mergeCell ref="Q68:R68"/>
    <mergeCell ref="T68:V68"/>
    <mergeCell ref="Q69:R69"/>
    <mergeCell ref="T69:V69"/>
    <mergeCell ref="Q70:R70"/>
    <mergeCell ref="T70:V70"/>
    <mergeCell ref="Q71:R71"/>
    <mergeCell ref="T71:V71"/>
    <mergeCell ref="Q72:R72"/>
    <mergeCell ref="T72:V72"/>
    <mergeCell ref="Q73:R73"/>
    <mergeCell ref="T73:V73"/>
    <mergeCell ref="Q74:R74"/>
    <mergeCell ref="T74:V74"/>
    <mergeCell ref="Q75:R75"/>
    <mergeCell ref="T75:V75"/>
    <mergeCell ref="Q76:R76"/>
    <mergeCell ref="T76:V76"/>
    <mergeCell ref="Q77:R77"/>
    <mergeCell ref="T77:V77"/>
    <mergeCell ref="E3:E12"/>
    <mergeCell ref="E14:E23"/>
    <mergeCell ref="E25:E34"/>
    <mergeCell ref="E36:E45"/>
    <mergeCell ref="E47:E56"/>
    <mergeCell ref="E58:E59"/>
    <mergeCell ref="F3:F12"/>
    <mergeCell ref="F13:F23"/>
    <mergeCell ref="F24:F34"/>
    <mergeCell ref="F35:F45"/>
    <mergeCell ref="F46:F56"/>
    <mergeCell ref="F58:F59"/>
    <mergeCell ref="I58:I59"/>
    <mergeCell ref="J58:J59"/>
    <mergeCell ref="K3:K12"/>
    <mergeCell ref="K14:K23"/>
    <mergeCell ref="K25:K34"/>
    <mergeCell ref="K36:K45"/>
    <mergeCell ref="K47:K56"/>
    <mergeCell ref="L3:L12"/>
    <mergeCell ref="L13:L23"/>
    <mergeCell ref="L24:L34"/>
    <mergeCell ref="L35:L45"/>
    <mergeCell ref="L46:L56"/>
    <mergeCell ref="N3:N12"/>
    <mergeCell ref="N14:N23"/>
    <mergeCell ref="N25:N44"/>
    <mergeCell ref="N46:N65"/>
    <mergeCell ref="P78:P79"/>
    <mergeCell ref="Q78:Q79"/>
    <mergeCell ref="R78:R79"/>
    <mergeCell ref="S3:S4"/>
    <mergeCell ref="S5:S7"/>
    <mergeCell ref="S8:S9"/>
    <mergeCell ref="S10:S12"/>
    <mergeCell ref="S14:S15"/>
    <mergeCell ref="S16:S18"/>
    <mergeCell ref="S19:S20"/>
    <mergeCell ref="S21:S23"/>
    <mergeCell ref="S25:S29"/>
    <mergeCell ref="S30:S34"/>
    <mergeCell ref="S35:S39"/>
    <mergeCell ref="S40:S44"/>
    <mergeCell ref="S46:S50"/>
    <mergeCell ref="S51:S55"/>
    <mergeCell ref="S56:S60"/>
    <mergeCell ref="S61:S65"/>
    <mergeCell ref="S78:S79"/>
    <mergeCell ref="T78:T79"/>
    <mergeCell ref="U78:U79"/>
    <mergeCell ref="V78:V79"/>
    <mergeCell ref="A58:B59"/>
    <mergeCell ref="C58:D59"/>
    <mergeCell ref="G58:H59"/>
    <mergeCell ref="K58:L59"/>
    <mergeCell ref="N67:O77"/>
    <mergeCell ref="N78:O79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9"/>
  <sheetViews>
    <sheetView tabSelected="1" workbookViewId="0">
      <selection activeCell="Y5" sqref="Y5"/>
    </sheetView>
  </sheetViews>
  <sheetFormatPr defaultColWidth="8.72727272727273" defaultRowHeight="14"/>
  <sheetData>
    <row r="1" ht="36.5" spans="1:22">
      <c r="A1" s="1" t="s">
        <v>0</v>
      </c>
      <c r="B1" s="1"/>
      <c r="C1" s="2" t="s">
        <v>394</v>
      </c>
      <c r="D1" s="2"/>
      <c r="E1" s="2"/>
      <c r="F1" s="2"/>
      <c r="G1" s="2"/>
      <c r="H1" s="2"/>
      <c r="I1" s="2"/>
      <c r="J1" s="2"/>
      <c r="K1" s="2"/>
      <c r="L1" s="2"/>
      <c r="M1" s="3"/>
      <c r="N1" s="1" t="s">
        <v>0</v>
      </c>
      <c r="O1" s="1"/>
      <c r="P1" s="4" t="s">
        <v>395</v>
      </c>
      <c r="Q1" s="5"/>
      <c r="R1" s="5"/>
      <c r="S1" s="5"/>
      <c r="T1" s="5"/>
      <c r="U1" s="5"/>
      <c r="V1" s="6"/>
    </row>
    <row r="2" ht="66" spans="1:22">
      <c r="A2" s="7" t="s">
        <v>2</v>
      </c>
      <c r="B2" s="7" t="s">
        <v>3</v>
      </c>
      <c r="C2" s="7" t="s">
        <v>4</v>
      </c>
      <c r="D2" s="8" t="s">
        <v>5</v>
      </c>
      <c r="E2" s="7" t="s">
        <v>6</v>
      </c>
      <c r="F2" s="7" t="s">
        <v>7</v>
      </c>
      <c r="G2" s="7" t="s">
        <v>2</v>
      </c>
      <c r="H2" s="7" t="s">
        <v>3</v>
      </c>
      <c r="I2" s="7" t="s">
        <v>4</v>
      </c>
      <c r="J2" s="8" t="s">
        <v>5</v>
      </c>
      <c r="K2" s="7" t="s">
        <v>6</v>
      </c>
      <c r="L2" s="7" t="s">
        <v>7</v>
      </c>
      <c r="M2" s="9"/>
      <c r="N2" s="7" t="s">
        <v>8</v>
      </c>
      <c r="O2" s="7" t="s">
        <v>9</v>
      </c>
      <c r="P2" s="7" t="s">
        <v>10</v>
      </c>
      <c r="Q2" s="7" t="s">
        <v>11</v>
      </c>
      <c r="R2" s="7" t="s">
        <v>12</v>
      </c>
      <c r="S2" s="7" t="s">
        <v>13</v>
      </c>
      <c r="T2" s="7" t="s">
        <v>14</v>
      </c>
      <c r="U2" s="7"/>
      <c r="V2" s="7"/>
    </row>
    <row r="3" ht="16.5" spans="1:22">
      <c r="A3" s="10">
        <v>1</v>
      </c>
      <c r="B3" s="11">
        <v>1000</v>
      </c>
      <c r="C3" s="10"/>
      <c r="D3" s="12">
        <v>0.0158</v>
      </c>
      <c r="E3" s="10"/>
      <c r="F3" s="13" t="s">
        <v>15</v>
      </c>
      <c r="G3" s="10">
        <v>51</v>
      </c>
      <c r="H3" s="11">
        <v>4500</v>
      </c>
      <c r="I3" s="11">
        <f>H3+C56</f>
        <v>108820</v>
      </c>
      <c r="J3" s="12">
        <v>0.0833</v>
      </c>
      <c r="K3" s="10"/>
      <c r="L3" s="13" t="s">
        <v>16</v>
      </c>
      <c r="M3" s="3"/>
      <c r="N3" s="14" t="s">
        <v>396</v>
      </c>
      <c r="O3" s="13">
        <v>1</v>
      </c>
      <c r="P3" s="10"/>
      <c r="Q3" s="10"/>
      <c r="R3" s="15" t="s">
        <v>397</v>
      </c>
      <c r="S3" s="10" t="s">
        <v>10</v>
      </c>
      <c r="T3" s="15" t="s">
        <v>398</v>
      </c>
      <c r="U3" s="10"/>
      <c r="V3" s="10"/>
    </row>
    <row r="4" ht="16.5" spans="1:22">
      <c r="A4" s="10">
        <v>2</v>
      </c>
      <c r="B4" s="11">
        <v>600</v>
      </c>
      <c r="C4" s="11">
        <f>B3+B4</f>
        <v>1600</v>
      </c>
      <c r="D4" s="12">
        <v>0.0165</v>
      </c>
      <c r="E4" s="10"/>
      <c r="F4" s="13"/>
      <c r="G4" s="11">
        <v>52</v>
      </c>
      <c r="H4" s="11">
        <v>4650</v>
      </c>
      <c r="I4" s="11">
        <f t="shared" ref="I4:I12" si="0">H4+I3</f>
        <v>113470</v>
      </c>
      <c r="J4" s="12">
        <v>0.084</v>
      </c>
      <c r="K4" s="10"/>
      <c r="L4" s="13"/>
      <c r="M4" s="3"/>
      <c r="N4" s="16"/>
      <c r="O4" s="13">
        <v>2</v>
      </c>
      <c r="P4" s="11">
        <v>300</v>
      </c>
      <c r="Q4" s="11">
        <v>25800</v>
      </c>
      <c r="R4" s="10"/>
      <c r="S4" s="10"/>
      <c r="T4" s="15" t="s">
        <v>399</v>
      </c>
      <c r="U4" s="10"/>
      <c r="V4" s="10"/>
    </row>
    <row r="5" ht="16.5" spans="1:22">
      <c r="A5" s="10">
        <v>3</v>
      </c>
      <c r="B5" s="11">
        <v>630</v>
      </c>
      <c r="C5" s="11">
        <f t="shared" ref="C5:C12" si="1">B5+C4</f>
        <v>2230</v>
      </c>
      <c r="D5" s="12">
        <v>0.0173</v>
      </c>
      <c r="E5" s="10"/>
      <c r="F5" s="13"/>
      <c r="G5" s="11">
        <v>53</v>
      </c>
      <c r="H5" s="11">
        <v>4800</v>
      </c>
      <c r="I5" s="11">
        <f t="shared" si="0"/>
        <v>118270</v>
      </c>
      <c r="J5" s="12">
        <v>0.0848</v>
      </c>
      <c r="K5" s="10"/>
      <c r="L5" s="13"/>
      <c r="M5" s="3"/>
      <c r="N5" s="16"/>
      <c r="O5" s="13">
        <v>3</v>
      </c>
      <c r="P5" s="11">
        <v>600</v>
      </c>
      <c r="Q5" s="11">
        <v>51600</v>
      </c>
      <c r="R5" s="10"/>
      <c r="S5" s="17">
        <f>SUM(P4:P12)</f>
        <v>13500</v>
      </c>
      <c r="T5" s="15" t="s">
        <v>400</v>
      </c>
      <c r="U5" s="10"/>
      <c r="V5" s="10"/>
    </row>
    <row r="6" ht="16.5" spans="1:22">
      <c r="A6" s="10">
        <v>4</v>
      </c>
      <c r="B6" s="11">
        <v>660</v>
      </c>
      <c r="C6" s="11">
        <f t="shared" si="1"/>
        <v>2890</v>
      </c>
      <c r="D6" s="12">
        <v>0.018</v>
      </c>
      <c r="E6" s="10"/>
      <c r="F6" s="13"/>
      <c r="G6" s="11">
        <v>54</v>
      </c>
      <c r="H6" s="11">
        <v>4950</v>
      </c>
      <c r="I6" s="11">
        <f t="shared" si="0"/>
        <v>123220</v>
      </c>
      <c r="J6" s="12">
        <v>0.0855333333333333</v>
      </c>
      <c r="K6" s="10"/>
      <c r="L6" s="13"/>
      <c r="M6" s="3"/>
      <c r="N6" s="16"/>
      <c r="O6" s="13">
        <v>4</v>
      </c>
      <c r="P6" s="11">
        <v>900</v>
      </c>
      <c r="Q6" s="11">
        <v>77400</v>
      </c>
      <c r="R6" s="10"/>
      <c r="S6" s="18"/>
      <c r="T6" s="15" t="s">
        <v>401</v>
      </c>
      <c r="U6" s="10"/>
      <c r="V6" s="10"/>
    </row>
    <row r="7" ht="16.5" spans="1:22">
      <c r="A7" s="10">
        <v>5</v>
      </c>
      <c r="B7" s="11">
        <v>690</v>
      </c>
      <c r="C7" s="11">
        <f t="shared" si="1"/>
        <v>3580</v>
      </c>
      <c r="D7" s="12">
        <v>0.0188</v>
      </c>
      <c r="E7" s="10"/>
      <c r="F7" s="13"/>
      <c r="G7" s="11">
        <v>55</v>
      </c>
      <c r="H7" s="11">
        <v>5100</v>
      </c>
      <c r="I7" s="11">
        <f t="shared" si="0"/>
        <v>128320</v>
      </c>
      <c r="J7" s="12">
        <v>0.0862833333333333</v>
      </c>
      <c r="K7" s="10"/>
      <c r="L7" s="13"/>
      <c r="M7" s="3"/>
      <c r="N7" s="16"/>
      <c r="O7" s="13">
        <v>5</v>
      </c>
      <c r="P7" s="11">
        <v>1200</v>
      </c>
      <c r="Q7" s="11">
        <v>103200</v>
      </c>
      <c r="R7" s="15" t="s">
        <v>22</v>
      </c>
      <c r="S7" s="19"/>
      <c r="T7" s="15" t="s">
        <v>402</v>
      </c>
      <c r="U7" s="10"/>
      <c r="V7" s="10"/>
    </row>
    <row r="8" ht="16.5" spans="1:22">
      <c r="A8" s="10">
        <v>6</v>
      </c>
      <c r="B8" s="11">
        <v>720</v>
      </c>
      <c r="C8" s="11">
        <f t="shared" si="1"/>
        <v>4300</v>
      </c>
      <c r="D8" s="12">
        <v>0.0195</v>
      </c>
      <c r="E8" s="10"/>
      <c r="F8" s="13"/>
      <c r="G8" s="11">
        <v>56</v>
      </c>
      <c r="H8" s="11">
        <v>5250</v>
      </c>
      <c r="I8" s="11">
        <f t="shared" si="0"/>
        <v>133570</v>
      </c>
      <c r="J8" s="12">
        <v>0.0870333333333333</v>
      </c>
      <c r="K8" s="10"/>
      <c r="L8" s="13"/>
      <c r="M8" s="3"/>
      <c r="N8" s="16"/>
      <c r="O8" s="13">
        <v>6</v>
      </c>
      <c r="P8" s="11">
        <v>1500</v>
      </c>
      <c r="Q8" s="11">
        <v>129600</v>
      </c>
      <c r="R8" s="10"/>
      <c r="S8" s="10" t="s">
        <v>11</v>
      </c>
      <c r="T8" s="15" t="s">
        <v>403</v>
      </c>
      <c r="U8" s="10"/>
      <c r="V8" s="10"/>
    </row>
    <row r="9" ht="16.5" spans="1:22">
      <c r="A9" s="10">
        <v>7</v>
      </c>
      <c r="B9" s="11">
        <v>780</v>
      </c>
      <c r="C9" s="11">
        <f t="shared" si="1"/>
        <v>5080</v>
      </c>
      <c r="D9" s="12">
        <v>0.0203</v>
      </c>
      <c r="E9" s="10"/>
      <c r="F9" s="13"/>
      <c r="G9" s="11">
        <v>57</v>
      </c>
      <c r="H9" s="11">
        <v>5400</v>
      </c>
      <c r="I9" s="11">
        <f t="shared" si="0"/>
        <v>138970</v>
      </c>
      <c r="J9" s="12">
        <v>0.0877833333333333</v>
      </c>
      <c r="K9" s="10"/>
      <c r="L9" s="13"/>
      <c r="M9" s="3"/>
      <c r="N9" s="16"/>
      <c r="O9" s="13">
        <v>7</v>
      </c>
      <c r="P9" s="11">
        <v>1800</v>
      </c>
      <c r="Q9" s="11">
        <v>155400</v>
      </c>
      <c r="R9" s="10"/>
      <c r="S9" s="10"/>
      <c r="T9" s="15" t="s">
        <v>404</v>
      </c>
      <c r="U9" s="10"/>
      <c r="V9" s="10"/>
    </row>
    <row r="10" ht="16.5" spans="1:22">
      <c r="A10" s="10">
        <v>8</v>
      </c>
      <c r="B10" s="11">
        <v>840</v>
      </c>
      <c r="C10" s="11">
        <f t="shared" si="1"/>
        <v>5920</v>
      </c>
      <c r="D10" s="12">
        <v>0.021</v>
      </c>
      <c r="E10" s="10"/>
      <c r="F10" s="13"/>
      <c r="G10" s="11">
        <v>58</v>
      </c>
      <c r="H10" s="11">
        <v>5550</v>
      </c>
      <c r="I10" s="11">
        <f t="shared" si="0"/>
        <v>144520</v>
      </c>
      <c r="J10" s="12">
        <v>0.0885333333333333</v>
      </c>
      <c r="K10" s="10"/>
      <c r="L10" s="13"/>
      <c r="M10" s="3"/>
      <c r="N10" s="16"/>
      <c r="O10" s="13">
        <v>8</v>
      </c>
      <c r="P10" s="11">
        <v>2100</v>
      </c>
      <c r="Q10" s="11">
        <v>181200</v>
      </c>
      <c r="R10" s="15" t="s">
        <v>26</v>
      </c>
      <c r="S10" s="17">
        <f>SUM(Q4:Q12)</f>
        <v>1164000</v>
      </c>
      <c r="T10" s="15" t="s">
        <v>405</v>
      </c>
      <c r="U10" s="10"/>
      <c r="V10" s="10"/>
    </row>
    <row r="11" ht="16.5" spans="1:22">
      <c r="A11" s="10">
        <v>9</v>
      </c>
      <c r="B11" s="11">
        <v>900</v>
      </c>
      <c r="C11" s="11">
        <f t="shared" si="1"/>
        <v>6820</v>
      </c>
      <c r="D11" s="12">
        <v>0.0218</v>
      </c>
      <c r="E11" s="10"/>
      <c r="F11" s="13"/>
      <c r="G11" s="11">
        <v>59</v>
      </c>
      <c r="H11" s="11">
        <v>5700</v>
      </c>
      <c r="I11" s="11">
        <f t="shared" si="0"/>
        <v>150220</v>
      </c>
      <c r="J11" s="12">
        <v>0.0892833333333333</v>
      </c>
      <c r="K11" s="10"/>
      <c r="L11" s="13"/>
      <c r="M11" s="3"/>
      <c r="N11" s="16"/>
      <c r="O11" s="13">
        <v>9</v>
      </c>
      <c r="P11" s="11">
        <v>2400</v>
      </c>
      <c r="Q11" s="11">
        <v>207000</v>
      </c>
      <c r="R11" s="10"/>
      <c r="S11" s="18"/>
      <c r="T11" s="15" t="s">
        <v>406</v>
      </c>
      <c r="U11" s="10"/>
      <c r="V11" s="10"/>
    </row>
    <row r="12" ht="16.5" spans="1:22">
      <c r="A12" s="10">
        <v>10</v>
      </c>
      <c r="B12" s="11">
        <v>960</v>
      </c>
      <c r="C12" s="11">
        <f t="shared" si="1"/>
        <v>7780</v>
      </c>
      <c r="D12" s="12">
        <v>0.0225</v>
      </c>
      <c r="E12" s="10"/>
      <c r="F12" s="13"/>
      <c r="G12" s="11">
        <v>60</v>
      </c>
      <c r="H12" s="11">
        <v>5850</v>
      </c>
      <c r="I12" s="11">
        <f t="shared" si="0"/>
        <v>156070</v>
      </c>
      <c r="J12" s="12">
        <v>0.09</v>
      </c>
      <c r="K12" s="10"/>
      <c r="L12" s="13"/>
      <c r="M12" s="3"/>
      <c r="N12" s="16"/>
      <c r="O12" s="13">
        <v>10</v>
      </c>
      <c r="P12" s="11">
        <v>2700</v>
      </c>
      <c r="Q12" s="11">
        <v>232800</v>
      </c>
      <c r="R12" s="15" t="s">
        <v>29</v>
      </c>
      <c r="S12" s="19"/>
      <c r="T12" s="15" t="s">
        <v>407</v>
      </c>
      <c r="U12" s="10"/>
      <c r="V12" s="10"/>
    </row>
    <row r="13" ht="16.5" spans="1:22">
      <c r="A13" s="10" t="s">
        <v>31</v>
      </c>
      <c r="B13" s="11"/>
      <c r="C13" s="11"/>
      <c r="D13" s="12">
        <v>0.0285</v>
      </c>
      <c r="E13" s="10">
        <v>8</v>
      </c>
      <c r="F13" s="13" t="s">
        <v>32</v>
      </c>
      <c r="G13" s="11" t="s">
        <v>31</v>
      </c>
      <c r="H13" s="11"/>
      <c r="I13" s="11"/>
      <c r="J13" s="12">
        <v>0.096</v>
      </c>
      <c r="K13" s="10">
        <v>48</v>
      </c>
      <c r="L13" s="13" t="s">
        <v>33</v>
      </c>
      <c r="M13" s="3"/>
      <c r="N13" s="7" t="s">
        <v>8</v>
      </c>
      <c r="O13" s="20" t="s">
        <v>2</v>
      </c>
      <c r="P13" s="20" t="s">
        <v>10</v>
      </c>
      <c r="Q13" s="20" t="s">
        <v>11</v>
      </c>
      <c r="R13" s="20" t="s">
        <v>12</v>
      </c>
      <c r="S13" s="20" t="s">
        <v>13</v>
      </c>
      <c r="T13" s="20" t="s">
        <v>14</v>
      </c>
      <c r="U13" s="20"/>
      <c r="V13" s="20"/>
    </row>
    <row r="14" ht="16.5" spans="1:22">
      <c r="A14" s="10">
        <v>11</v>
      </c>
      <c r="B14" s="11">
        <v>1020</v>
      </c>
      <c r="C14" s="11">
        <f>B14+C12</f>
        <v>8800</v>
      </c>
      <c r="D14" s="12">
        <v>0.0293</v>
      </c>
      <c r="E14" s="10"/>
      <c r="F14" s="13"/>
      <c r="G14" s="11">
        <v>61</v>
      </c>
      <c r="H14" s="11">
        <v>6000</v>
      </c>
      <c r="I14" s="11">
        <f>H14+I12</f>
        <v>162070</v>
      </c>
      <c r="J14" s="12">
        <v>0.0968</v>
      </c>
      <c r="K14" s="10"/>
      <c r="L14" s="13"/>
      <c r="M14" s="3"/>
      <c r="N14" s="14" t="s">
        <v>408</v>
      </c>
      <c r="O14" s="13">
        <v>1</v>
      </c>
      <c r="P14" s="10"/>
      <c r="Q14" s="10"/>
      <c r="R14" s="15" t="s">
        <v>409</v>
      </c>
      <c r="S14" s="10" t="s">
        <v>10</v>
      </c>
      <c r="T14" s="15" t="s">
        <v>410</v>
      </c>
      <c r="U14" s="10"/>
      <c r="V14" s="10"/>
    </row>
    <row r="15" ht="16.5" spans="1:22">
      <c r="A15" s="10">
        <v>12</v>
      </c>
      <c r="B15" s="11">
        <v>1080</v>
      </c>
      <c r="C15" s="11">
        <f t="shared" ref="C15:C23" si="2">B15+C14</f>
        <v>9880</v>
      </c>
      <c r="D15" s="12">
        <v>0.03</v>
      </c>
      <c r="E15" s="10"/>
      <c r="F15" s="13"/>
      <c r="G15" s="11">
        <v>62</v>
      </c>
      <c r="H15" s="11">
        <v>6150</v>
      </c>
      <c r="I15" s="11">
        <f t="shared" ref="I15:I23" si="3">H15+I14</f>
        <v>168220</v>
      </c>
      <c r="J15" s="12">
        <v>0.0975</v>
      </c>
      <c r="K15" s="10"/>
      <c r="L15" s="13"/>
      <c r="M15" s="3"/>
      <c r="N15" s="16"/>
      <c r="O15" s="13">
        <v>2</v>
      </c>
      <c r="P15" s="11">
        <v>300</v>
      </c>
      <c r="Q15" s="11">
        <v>36000</v>
      </c>
      <c r="R15" s="10"/>
      <c r="S15" s="10"/>
      <c r="T15" s="15" t="s">
        <v>411</v>
      </c>
      <c r="U15" s="10"/>
      <c r="V15" s="10"/>
    </row>
    <row r="16" ht="16.5" spans="1:22">
      <c r="A16" s="10">
        <v>13</v>
      </c>
      <c r="B16" s="11">
        <v>1140</v>
      </c>
      <c r="C16" s="11">
        <f t="shared" si="2"/>
        <v>11020</v>
      </c>
      <c r="D16" s="12">
        <v>0.0308</v>
      </c>
      <c r="E16" s="10"/>
      <c r="F16" s="13"/>
      <c r="G16" s="11">
        <v>63</v>
      </c>
      <c r="H16" s="11">
        <v>6300</v>
      </c>
      <c r="I16" s="11">
        <f t="shared" si="3"/>
        <v>174520</v>
      </c>
      <c r="J16" s="12">
        <v>0.0983</v>
      </c>
      <c r="K16" s="10"/>
      <c r="L16" s="13"/>
      <c r="M16" s="3"/>
      <c r="N16" s="16"/>
      <c r="O16" s="13">
        <v>3</v>
      </c>
      <c r="P16" s="11">
        <v>600</v>
      </c>
      <c r="Q16" s="11">
        <v>72600</v>
      </c>
      <c r="R16" s="10"/>
      <c r="S16" s="17">
        <f>SUM(P15:P23)</f>
        <v>13500</v>
      </c>
      <c r="T16" s="15" t="s">
        <v>412</v>
      </c>
      <c r="U16" s="10"/>
      <c r="V16" s="10"/>
    </row>
    <row r="17" ht="16.5" spans="1:22">
      <c r="A17" s="10">
        <v>14</v>
      </c>
      <c r="B17" s="11">
        <v>1200</v>
      </c>
      <c r="C17" s="11">
        <f t="shared" si="2"/>
        <v>12220</v>
      </c>
      <c r="D17" s="12">
        <v>0.0315333333333333</v>
      </c>
      <c r="E17" s="10"/>
      <c r="F17" s="13"/>
      <c r="G17" s="11">
        <v>64</v>
      </c>
      <c r="H17" s="11">
        <v>6450</v>
      </c>
      <c r="I17" s="11">
        <f t="shared" si="3"/>
        <v>180970</v>
      </c>
      <c r="J17" s="12">
        <v>0.0990333333333333</v>
      </c>
      <c r="K17" s="10"/>
      <c r="L17" s="13"/>
      <c r="M17" s="3"/>
      <c r="N17" s="16"/>
      <c r="O17" s="13">
        <v>4</v>
      </c>
      <c r="P17" s="11">
        <v>900</v>
      </c>
      <c r="Q17" s="11">
        <v>108600</v>
      </c>
      <c r="R17" s="10"/>
      <c r="S17" s="18"/>
      <c r="T17" s="15" t="s">
        <v>413</v>
      </c>
      <c r="U17" s="10"/>
      <c r="V17" s="10"/>
    </row>
    <row r="18" ht="16.5" spans="1:22">
      <c r="A18" s="10">
        <v>15</v>
      </c>
      <c r="B18" s="11">
        <v>1260</v>
      </c>
      <c r="C18" s="11">
        <f t="shared" si="2"/>
        <v>13480</v>
      </c>
      <c r="D18" s="12">
        <v>0.0322833333333333</v>
      </c>
      <c r="E18" s="10"/>
      <c r="F18" s="13"/>
      <c r="G18" s="11">
        <v>65</v>
      </c>
      <c r="H18" s="11">
        <v>6600</v>
      </c>
      <c r="I18" s="11">
        <f t="shared" si="3"/>
        <v>187570</v>
      </c>
      <c r="J18" s="12">
        <v>0.0997833333333333</v>
      </c>
      <c r="K18" s="10"/>
      <c r="L18" s="13"/>
      <c r="M18" s="3"/>
      <c r="N18" s="16"/>
      <c r="O18" s="13">
        <v>5</v>
      </c>
      <c r="P18" s="11">
        <v>1200</v>
      </c>
      <c r="Q18" s="11">
        <v>145200</v>
      </c>
      <c r="R18" s="15" t="s">
        <v>39</v>
      </c>
      <c r="S18" s="19"/>
      <c r="T18" s="15" t="s">
        <v>414</v>
      </c>
      <c r="U18" s="10"/>
      <c r="V18" s="10"/>
    </row>
    <row r="19" ht="16.5" spans="1:22">
      <c r="A19" s="10">
        <v>16</v>
      </c>
      <c r="B19" s="11">
        <v>1320</v>
      </c>
      <c r="C19" s="11">
        <f t="shared" si="2"/>
        <v>14800</v>
      </c>
      <c r="D19" s="12">
        <v>0.0330333333333333</v>
      </c>
      <c r="E19" s="10"/>
      <c r="F19" s="13"/>
      <c r="G19" s="11">
        <v>66</v>
      </c>
      <c r="H19" s="11">
        <v>6750</v>
      </c>
      <c r="I19" s="11">
        <f t="shared" si="3"/>
        <v>194320</v>
      </c>
      <c r="J19" s="12">
        <v>0.100533333333333</v>
      </c>
      <c r="K19" s="10"/>
      <c r="L19" s="13"/>
      <c r="M19" s="3"/>
      <c r="N19" s="16"/>
      <c r="O19" s="13">
        <v>6</v>
      </c>
      <c r="P19" s="11">
        <v>1500</v>
      </c>
      <c r="Q19" s="11">
        <v>181200</v>
      </c>
      <c r="R19" s="10"/>
      <c r="S19" s="10" t="s">
        <v>11</v>
      </c>
      <c r="T19" s="15" t="s">
        <v>415</v>
      </c>
      <c r="U19" s="10"/>
      <c r="V19" s="10"/>
    </row>
    <row r="20" ht="16.5" spans="1:22">
      <c r="A20" s="10">
        <v>17</v>
      </c>
      <c r="B20" s="11">
        <v>1380</v>
      </c>
      <c r="C20" s="11">
        <f t="shared" si="2"/>
        <v>16180</v>
      </c>
      <c r="D20" s="12">
        <v>0.0337833333333333</v>
      </c>
      <c r="E20" s="10"/>
      <c r="F20" s="13"/>
      <c r="G20" s="11">
        <v>67</v>
      </c>
      <c r="H20" s="11">
        <v>6900</v>
      </c>
      <c r="I20" s="11">
        <f t="shared" si="3"/>
        <v>201220</v>
      </c>
      <c r="J20" s="12">
        <v>0.101283333333333</v>
      </c>
      <c r="K20" s="10"/>
      <c r="L20" s="13"/>
      <c r="M20" s="3"/>
      <c r="N20" s="16"/>
      <c r="O20" s="13">
        <v>7</v>
      </c>
      <c r="P20" s="11">
        <v>1800</v>
      </c>
      <c r="Q20" s="11">
        <v>217200</v>
      </c>
      <c r="R20" s="10"/>
      <c r="S20" s="10"/>
      <c r="T20" s="15" t="s">
        <v>416</v>
      </c>
      <c r="U20" s="10"/>
      <c r="V20" s="10"/>
    </row>
    <row r="21" ht="16.5" spans="1:22">
      <c r="A21" s="10">
        <v>18</v>
      </c>
      <c r="B21" s="11">
        <v>1440</v>
      </c>
      <c r="C21" s="11">
        <f t="shared" si="2"/>
        <v>17620</v>
      </c>
      <c r="D21" s="12">
        <v>0.0345333333333333</v>
      </c>
      <c r="E21" s="10"/>
      <c r="F21" s="13"/>
      <c r="G21" s="11">
        <v>68</v>
      </c>
      <c r="H21" s="11">
        <v>7050</v>
      </c>
      <c r="I21" s="11">
        <f t="shared" si="3"/>
        <v>208270</v>
      </c>
      <c r="J21" s="12">
        <v>0.102033333333333</v>
      </c>
      <c r="K21" s="10"/>
      <c r="L21" s="13"/>
      <c r="M21" s="3"/>
      <c r="N21" s="16"/>
      <c r="O21" s="13">
        <v>8</v>
      </c>
      <c r="P21" s="11">
        <v>2100</v>
      </c>
      <c r="Q21" s="11">
        <v>253800</v>
      </c>
      <c r="R21" s="15" t="s">
        <v>43</v>
      </c>
      <c r="S21" s="17">
        <f>SUM(Q15:Q23)</f>
        <v>1630800</v>
      </c>
      <c r="T21" s="15" t="s">
        <v>417</v>
      </c>
      <c r="U21" s="10"/>
      <c r="V21" s="10"/>
    </row>
    <row r="22" ht="16.5" spans="1:22">
      <c r="A22" s="10">
        <v>19</v>
      </c>
      <c r="B22" s="11">
        <v>1500</v>
      </c>
      <c r="C22" s="11">
        <f t="shared" si="2"/>
        <v>19120</v>
      </c>
      <c r="D22" s="12">
        <v>0.0352833333333333</v>
      </c>
      <c r="E22" s="10"/>
      <c r="F22" s="13"/>
      <c r="G22" s="11">
        <v>69</v>
      </c>
      <c r="H22" s="11">
        <v>7200</v>
      </c>
      <c r="I22" s="11">
        <f t="shared" si="3"/>
        <v>215470</v>
      </c>
      <c r="J22" s="12">
        <v>0.102783333333333</v>
      </c>
      <c r="K22" s="10"/>
      <c r="L22" s="13"/>
      <c r="M22" s="3"/>
      <c r="N22" s="16"/>
      <c r="O22" s="13">
        <v>9</v>
      </c>
      <c r="P22" s="11">
        <v>2400</v>
      </c>
      <c r="Q22" s="11">
        <v>289800</v>
      </c>
      <c r="R22" s="10"/>
      <c r="S22" s="18"/>
      <c r="T22" s="15" t="s">
        <v>418</v>
      </c>
      <c r="U22" s="10"/>
      <c r="V22" s="10"/>
    </row>
    <row r="23" ht="16.5" spans="1:22">
      <c r="A23" s="10">
        <v>20</v>
      </c>
      <c r="B23" s="11">
        <v>1560</v>
      </c>
      <c r="C23" s="11">
        <f t="shared" si="2"/>
        <v>20680</v>
      </c>
      <c r="D23" s="12">
        <v>0.036</v>
      </c>
      <c r="E23" s="10"/>
      <c r="F23" s="13"/>
      <c r="G23" s="11">
        <v>70</v>
      </c>
      <c r="H23" s="11">
        <v>7350</v>
      </c>
      <c r="I23" s="11">
        <f t="shared" si="3"/>
        <v>222820</v>
      </c>
      <c r="J23" s="12">
        <v>0.1035</v>
      </c>
      <c r="K23" s="10"/>
      <c r="L23" s="13"/>
      <c r="M23" s="3"/>
      <c r="N23" s="16"/>
      <c r="O23" s="13">
        <v>10</v>
      </c>
      <c r="P23" s="11">
        <v>2700</v>
      </c>
      <c r="Q23" s="11">
        <v>326400</v>
      </c>
      <c r="R23" s="15" t="s">
        <v>46</v>
      </c>
      <c r="S23" s="19"/>
      <c r="T23" s="15" t="s">
        <v>419</v>
      </c>
      <c r="U23" s="10"/>
      <c r="V23" s="10"/>
    </row>
    <row r="24" ht="16.5" spans="1:22">
      <c r="A24" s="10" t="s">
        <v>31</v>
      </c>
      <c r="B24" s="11"/>
      <c r="C24" s="11"/>
      <c r="D24" s="12">
        <v>0.042</v>
      </c>
      <c r="E24" s="10">
        <v>16</v>
      </c>
      <c r="F24" s="13" t="s">
        <v>48</v>
      </c>
      <c r="G24" s="11" t="s">
        <v>31</v>
      </c>
      <c r="H24" s="11"/>
      <c r="I24" s="11"/>
      <c r="J24" s="12">
        <v>0.1095</v>
      </c>
      <c r="K24" s="10">
        <v>56</v>
      </c>
      <c r="L24" s="13" t="s">
        <v>49</v>
      </c>
      <c r="M24" s="3"/>
      <c r="N24" s="7" t="s">
        <v>8</v>
      </c>
      <c r="O24" s="20" t="s">
        <v>9</v>
      </c>
      <c r="P24" s="20" t="s">
        <v>10</v>
      </c>
      <c r="Q24" s="20" t="s">
        <v>11</v>
      </c>
      <c r="R24" s="20" t="s">
        <v>12</v>
      </c>
      <c r="S24" s="20" t="s">
        <v>13</v>
      </c>
      <c r="T24" s="20" t="s">
        <v>14</v>
      </c>
      <c r="U24" s="20"/>
      <c r="V24" s="20"/>
    </row>
    <row r="25" ht="16.5" spans="1:22">
      <c r="A25" s="10">
        <v>21</v>
      </c>
      <c r="B25" s="11">
        <v>1620</v>
      </c>
      <c r="C25" s="11">
        <f>B25+C23</f>
        <v>22300</v>
      </c>
      <c r="D25" s="12">
        <v>0.0428</v>
      </c>
      <c r="E25" s="10"/>
      <c r="F25" s="13"/>
      <c r="G25" s="11">
        <v>71</v>
      </c>
      <c r="H25" s="11">
        <v>7500</v>
      </c>
      <c r="I25" s="11">
        <f>H25+I23</f>
        <v>230320</v>
      </c>
      <c r="J25" s="12">
        <v>0.1103</v>
      </c>
      <c r="K25" s="10"/>
      <c r="L25" s="13"/>
      <c r="M25" s="3"/>
      <c r="N25" s="14" t="s">
        <v>420</v>
      </c>
      <c r="O25" s="13">
        <v>1</v>
      </c>
      <c r="P25" s="10"/>
      <c r="Q25" s="10"/>
      <c r="R25" s="15" t="s">
        <v>22</v>
      </c>
      <c r="S25" s="10" t="s">
        <v>10</v>
      </c>
      <c r="T25" s="15" t="s">
        <v>421</v>
      </c>
      <c r="U25" s="10"/>
      <c r="V25" s="10"/>
    </row>
    <row r="26" ht="16.5" spans="1:22">
      <c r="A26" s="10">
        <v>22</v>
      </c>
      <c r="B26" s="11">
        <v>1680</v>
      </c>
      <c r="C26" s="11">
        <f t="shared" ref="C26:C34" si="4">B26+C25</f>
        <v>23980</v>
      </c>
      <c r="D26" s="12">
        <v>0.0435</v>
      </c>
      <c r="E26" s="10"/>
      <c r="F26" s="13"/>
      <c r="G26" s="11">
        <v>72</v>
      </c>
      <c r="H26" s="11">
        <v>7650</v>
      </c>
      <c r="I26" s="11">
        <f t="shared" ref="I26:I34" si="5">H26+I25</f>
        <v>237970</v>
      </c>
      <c r="J26" s="12">
        <v>0.111</v>
      </c>
      <c r="K26" s="10"/>
      <c r="L26" s="13"/>
      <c r="M26" s="3"/>
      <c r="N26" s="16"/>
      <c r="O26" s="13">
        <v>2</v>
      </c>
      <c r="P26" s="11">
        <v>600</v>
      </c>
      <c r="Q26" s="11">
        <v>82800</v>
      </c>
      <c r="R26" s="10"/>
      <c r="S26" s="10"/>
      <c r="T26" s="15" t="s">
        <v>422</v>
      </c>
      <c r="U26" s="10"/>
      <c r="V26" s="10"/>
    </row>
    <row r="27" ht="16.5" spans="1:22">
      <c r="A27" s="10">
        <v>23</v>
      </c>
      <c r="B27" s="11">
        <v>1740</v>
      </c>
      <c r="C27" s="11">
        <f t="shared" si="4"/>
        <v>25720</v>
      </c>
      <c r="D27" s="12">
        <v>0.0443</v>
      </c>
      <c r="E27" s="10"/>
      <c r="F27" s="13"/>
      <c r="G27" s="11">
        <v>73</v>
      </c>
      <c r="H27" s="11">
        <v>7800</v>
      </c>
      <c r="I27" s="11">
        <f t="shared" si="5"/>
        <v>245770</v>
      </c>
      <c r="J27" s="12">
        <v>0.1118</v>
      </c>
      <c r="K27" s="10"/>
      <c r="L27" s="13"/>
      <c r="M27" s="3"/>
      <c r="N27" s="16"/>
      <c r="O27" s="13">
        <v>3</v>
      </c>
      <c r="P27" s="11">
        <v>1200</v>
      </c>
      <c r="Q27" s="11">
        <v>165600</v>
      </c>
      <c r="R27" s="10"/>
      <c r="S27" s="17">
        <f>SUM(P26:P34)</f>
        <v>27000</v>
      </c>
      <c r="T27" s="15" t="s">
        <v>423</v>
      </c>
      <c r="U27" s="10"/>
      <c r="V27" s="10"/>
    </row>
    <row r="28" ht="16.5" spans="1:22">
      <c r="A28" s="10">
        <v>24</v>
      </c>
      <c r="B28" s="11">
        <v>1800</v>
      </c>
      <c r="C28" s="11">
        <f t="shared" si="4"/>
        <v>27520</v>
      </c>
      <c r="D28" s="12">
        <v>0.0450333333333333</v>
      </c>
      <c r="E28" s="10"/>
      <c r="F28" s="13"/>
      <c r="G28" s="11">
        <v>74</v>
      </c>
      <c r="H28" s="11">
        <v>7950</v>
      </c>
      <c r="I28" s="11">
        <f t="shared" si="5"/>
        <v>253720</v>
      </c>
      <c r="J28" s="12">
        <v>0.112533333333333</v>
      </c>
      <c r="K28" s="10"/>
      <c r="L28" s="13"/>
      <c r="M28" s="3"/>
      <c r="N28" s="16"/>
      <c r="O28" s="13">
        <v>4</v>
      </c>
      <c r="P28" s="11">
        <v>1800</v>
      </c>
      <c r="Q28" s="11">
        <v>248400</v>
      </c>
      <c r="R28" s="10"/>
      <c r="S28" s="18"/>
      <c r="T28" s="15" t="s">
        <v>424</v>
      </c>
      <c r="U28" s="10"/>
      <c r="V28" s="10"/>
    </row>
    <row r="29" ht="16.5" spans="1:22">
      <c r="A29" s="10">
        <v>25</v>
      </c>
      <c r="B29" s="11">
        <v>1860</v>
      </c>
      <c r="C29" s="11">
        <f t="shared" si="4"/>
        <v>29380</v>
      </c>
      <c r="D29" s="12">
        <v>0.0457833333333333</v>
      </c>
      <c r="E29" s="10"/>
      <c r="F29" s="13"/>
      <c r="G29" s="11">
        <v>75</v>
      </c>
      <c r="H29" s="11">
        <v>8100</v>
      </c>
      <c r="I29" s="11">
        <f t="shared" si="5"/>
        <v>261820</v>
      </c>
      <c r="J29" s="12">
        <v>0.113283333333333</v>
      </c>
      <c r="K29" s="10"/>
      <c r="L29" s="13"/>
      <c r="M29" s="3"/>
      <c r="N29" s="16"/>
      <c r="O29" s="13">
        <v>5</v>
      </c>
      <c r="P29" s="11">
        <v>2400</v>
      </c>
      <c r="Q29" s="11">
        <v>331800</v>
      </c>
      <c r="R29" s="15" t="s">
        <v>55</v>
      </c>
      <c r="S29" s="19"/>
      <c r="T29" s="15" t="s">
        <v>425</v>
      </c>
      <c r="U29" s="10"/>
      <c r="V29" s="10"/>
    </row>
    <row r="30" ht="16.5" spans="1:22">
      <c r="A30" s="10">
        <v>26</v>
      </c>
      <c r="B30" s="11">
        <v>1920</v>
      </c>
      <c r="C30" s="11">
        <f t="shared" si="4"/>
        <v>31300</v>
      </c>
      <c r="D30" s="12">
        <v>0.0465333333333333</v>
      </c>
      <c r="E30" s="10"/>
      <c r="F30" s="13"/>
      <c r="G30" s="11">
        <v>76</v>
      </c>
      <c r="H30" s="11">
        <v>8250</v>
      </c>
      <c r="I30" s="11">
        <f t="shared" si="5"/>
        <v>270070</v>
      </c>
      <c r="J30" s="12">
        <v>0.114033333333333</v>
      </c>
      <c r="K30" s="10"/>
      <c r="L30" s="13"/>
      <c r="M30" s="3"/>
      <c r="N30" s="16"/>
      <c r="O30" s="13">
        <v>6</v>
      </c>
      <c r="P30" s="11">
        <v>3000</v>
      </c>
      <c r="Q30" s="11">
        <v>414600</v>
      </c>
      <c r="R30" s="10"/>
      <c r="S30" s="10" t="s">
        <v>11</v>
      </c>
      <c r="T30" s="15" t="s">
        <v>426</v>
      </c>
      <c r="U30" s="10"/>
      <c r="V30" s="10"/>
    </row>
    <row r="31" ht="16.5" spans="1:22">
      <c r="A31" s="10">
        <v>27</v>
      </c>
      <c r="B31" s="11">
        <v>1980</v>
      </c>
      <c r="C31" s="11">
        <f t="shared" si="4"/>
        <v>33280</v>
      </c>
      <c r="D31" s="12">
        <v>0.0472833333333333</v>
      </c>
      <c r="E31" s="10"/>
      <c r="F31" s="13"/>
      <c r="G31" s="11">
        <v>77</v>
      </c>
      <c r="H31" s="11">
        <v>8400</v>
      </c>
      <c r="I31" s="11">
        <f t="shared" si="5"/>
        <v>278470</v>
      </c>
      <c r="J31" s="12">
        <v>0.114783333333333</v>
      </c>
      <c r="K31" s="10"/>
      <c r="L31" s="13"/>
      <c r="M31" s="3"/>
      <c r="N31" s="16"/>
      <c r="O31" s="13">
        <v>7</v>
      </c>
      <c r="P31" s="11">
        <v>3600</v>
      </c>
      <c r="Q31" s="11">
        <v>497400</v>
      </c>
      <c r="R31" s="10"/>
      <c r="S31" s="10"/>
      <c r="T31" s="15" t="s">
        <v>427</v>
      </c>
      <c r="U31" s="10"/>
      <c r="V31" s="10"/>
    </row>
    <row r="32" ht="16.5" spans="1:22">
      <c r="A32" s="10">
        <v>28</v>
      </c>
      <c r="B32" s="11">
        <v>2040</v>
      </c>
      <c r="C32" s="11">
        <f t="shared" si="4"/>
        <v>35320</v>
      </c>
      <c r="D32" s="12">
        <v>0.0480333333333333</v>
      </c>
      <c r="E32" s="10"/>
      <c r="F32" s="13"/>
      <c r="G32" s="11">
        <v>78</v>
      </c>
      <c r="H32" s="11">
        <v>8550</v>
      </c>
      <c r="I32" s="11">
        <f t="shared" si="5"/>
        <v>287020</v>
      </c>
      <c r="J32" s="12">
        <v>0.115533333333333</v>
      </c>
      <c r="K32" s="10"/>
      <c r="L32" s="13"/>
      <c r="M32" s="3"/>
      <c r="N32" s="16"/>
      <c r="O32" s="13">
        <v>8</v>
      </c>
      <c r="P32" s="11">
        <v>4200</v>
      </c>
      <c r="Q32" s="11">
        <v>580200</v>
      </c>
      <c r="R32" s="15" t="s">
        <v>59</v>
      </c>
      <c r="S32" s="17">
        <f>SUM(Q26:Q34)</f>
        <v>3730800</v>
      </c>
      <c r="T32" s="15" t="s">
        <v>428</v>
      </c>
      <c r="U32" s="10"/>
      <c r="V32" s="10"/>
    </row>
    <row r="33" ht="16.5" spans="1:22">
      <c r="A33" s="10">
        <v>29</v>
      </c>
      <c r="B33" s="11">
        <v>2100</v>
      </c>
      <c r="C33" s="11">
        <f t="shared" si="4"/>
        <v>37420</v>
      </c>
      <c r="D33" s="12">
        <v>0.0487833333333333</v>
      </c>
      <c r="E33" s="10"/>
      <c r="F33" s="13"/>
      <c r="G33" s="11">
        <v>79</v>
      </c>
      <c r="H33" s="11">
        <v>8700</v>
      </c>
      <c r="I33" s="11">
        <f t="shared" si="5"/>
        <v>295720</v>
      </c>
      <c r="J33" s="12">
        <v>0.116283333333333</v>
      </c>
      <c r="K33" s="10"/>
      <c r="L33" s="13"/>
      <c r="M33" s="3"/>
      <c r="N33" s="16"/>
      <c r="O33" s="13">
        <v>9</v>
      </c>
      <c r="P33" s="11">
        <v>4800</v>
      </c>
      <c r="Q33" s="11">
        <v>663600</v>
      </c>
      <c r="R33" s="10"/>
      <c r="S33" s="18"/>
      <c r="T33" s="15" t="s">
        <v>429</v>
      </c>
      <c r="U33" s="10"/>
      <c r="V33" s="10"/>
    </row>
    <row r="34" ht="16.5" spans="1:22">
      <c r="A34" s="10">
        <v>30</v>
      </c>
      <c r="B34" s="11">
        <v>2190</v>
      </c>
      <c r="C34" s="11">
        <f t="shared" si="4"/>
        <v>39610</v>
      </c>
      <c r="D34" s="12">
        <v>0.0495</v>
      </c>
      <c r="E34" s="10"/>
      <c r="F34" s="13"/>
      <c r="G34" s="11">
        <v>80</v>
      </c>
      <c r="H34" s="11">
        <v>8850</v>
      </c>
      <c r="I34" s="11">
        <f t="shared" si="5"/>
        <v>304570</v>
      </c>
      <c r="J34" s="12">
        <v>0.117</v>
      </c>
      <c r="K34" s="10"/>
      <c r="L34" s="13"/>
      <c r="M34" s="3"/>
      <c r="N34" s="16"/>
      <c r="O34" s="13">
        <v>10</v>
      </c>
      <c r="P34" s="11">
        <v>5400</v>
      </c>
      <c r="Q34" s="11">
        <v>746400</v>
      </c>
      <c r="R34" s="15" t="s">
        <v>62</v>
      </c>
      <c r="S34" s="19"/>
      <c r="T34" s="15" t="s">
        <v>430</v>
      </c>
      <c r="U34" s="10"/>
      <c r="V34" s="10"/>
    </row>
    <row r="35" ht="16.5" spans="1:22">
      <c r="A35" s="10" t="s">
        <v>31</v>
      </c>
      <c r="B35" s="11"/>
      <c r="C35" s="11"/>
      <c r="D35" s="12">
        <v>0.0555</v>
      </c>
      <c r="E35" s="10">
        <v>24</v>
      </c>
      <c r="F35" s="13" t="s">
        <v>64</v>
      </c>
      <c r="G35" s="11" t="s">
        <v>31</v>
      </c>
      <c r="H35" s="11"/>
      <c r="I35" s="11"/>
      <c r="J35" s="12">
        <v>0.123</v>
      </c>
      <c r="K35" s="10">
        <v>64</v>
      </c>
      <c r="L35" s="13" t="s">
        <v>65</v>
      </c>
      <c r="M35" s="3"/>
      <c r="N35" s="7" t="s">
        <v>8</v>
      </c>
      <c r="O35" s="20" t="s">
        <v>9</v>
      </c>
      <c r="P35" s="20" t="s">
        <v>10</v>
      </c>
      <c r="Q35" s="20" t="s">
        <v>11</v>
      </c>
      <c r="R35" s="20" t="s">
        <v>12</v>
      </c>
      <c r="S35" s="20" t="s">
        <v>13</v>
      </c>
      <c r="T35" s="20" t="s">
        <v>14</v>
      </c>
      <c r="U35" s="20"/>
      <c r="V35" s="20"/>
    </row>
    <row r="36" ht="16.5" spans="1:22">
      <c r="A36" s="10">
        <v>31</v>
      </c>
      <c r="B36" s="11">
        <v>2280</v>
      </c>
      <c r="C36" s="11">
        <f>B36+C34</f>
        <v>41890</v>
      </c>
      <c r="D36" s="12">
        <v>0.0563</v>
      </c>
      <c r="E36" s="10"/>
      <c r="F36" s="13"/>
      <c r="G36" s="11">
        <v>81</v>
      </c>
      <c r="H36" s="11">
        <v>9000</v>
      </c>
      <c r="I36" s="11">
        <f>H36+I34</f>
        <v>313570</v>
      </c>
      <c r="J36" s="12">
        <v>0.1238</v>
      </c>
      <c r="K36" s="10"/>
      <c r="L36" s="13"/>
      <c r="M36" s="3"/>
      <c r="N36" s="14" t="s">
        <v>431</v>
      </c>
      <c r="O36" s="13">
        <v>1</v>
      </c>
      <c r="P36" s="10"/>
      <c r="Q36" s="10"/>
      <c r="R36" s="15" t="s">
        <v>39</v>
      </c>
      <c r="S36" s="10" t="s">
        <v>10</v>
      </c>
      <c r="T36" s="21" t="s">
        <v>432</v>
      </c>
      <c r="U36" s="10"/>
      <c r="V36" s="10"/>
    </row>
    <row r="37" ht="16.5" spans="1:22">
      <c r="A37" s="10">
        <v>32</v>
      </c>
      <c r="B37" s="11">
        <v>2370</v>
      </c>
      <c r="C37" s="11">
        <f t="shared" ref="C37:C45" si="6">B37+C36</f>
        <v>44260</v>
      </c>
      <c r="D37" s="12">
        <v>0.057</v>
      </c>
      <c r="E37" s="10"/>
      <c r="F37" s="13"/>
      <c r="G37" s="11">
        <v>82</v>
      </c>
      <c r="H37" s="11">
        <v>9150</v>
      </c>
      <c r="I37" s="11">
        <f t="shared" ref="I37:I45" si="7">H37+I36</f>
        <v>322720</v>
      </c>
      <c r="J37" s="12">
        <v>0.1245</v>
      </c>
      <c r="K37" s="10"/>
      <c r="L37" s="13"/>
      <c r="M37" s="3"/>
      <c r="N37" s="16"/>
      <c r="O37" s="13">
        <v>2</v>
      </c>
      <c r="P37" s="11">
        <v>1200</v>
      </c>
      <c r="Q37" s="11">
        <v>186600</v>
      </c>
      <c r="R37" s="10"/>
      <c r="S37" s="10"/>
      <c r="T37" s="21" t="s">
        <v>433</v>
      </c>
      <c r="U37" s="10"/>
      <c r="V37" s="10"/>
    </row>
    <row r="38" ht="16.5" spans="1:22">
      <c r="A38" s="10">
        <v>33</v>
      </c>
      <c r="B38" s="11">
        <v>2460</v>
      </c>
      <c r="C38" s="11">
        <f t="shared" si="6"/>
        <v>46720</v>
      </c>
      <c r="D38" s="12">
        <v>0.0578</v>
      </c>
      <c r="E38" s="10"/>
      <c r="F38" s="13"/>
      <c r="G38" s="11">
        <v>83</v>
      </c>
      <c r="H38" s="11">
        <v>9300</v>
      </c>
      <c r="I38" s="11">
        <f t="shared" si="7"/>
        <v>332020</v>
      </c>
      <c r="J38" s="12">
        <v>0.125266666666667</v>
      </c>
      <c r="K38" s="10"/>
      <c r="L38" s="13"/>
      <c r="M38" s="3"/>
      <c r="N38" s="16"/>
      <c r="O38" s="13">
        <v>3</v>
      </c>
      <c r="P38" s="11">
        <v>2400</v>
      </c>
      <c r="Q38" s="11">
        <v>373200</v>
      </c>
      <c r="R38" s="10"/>
      <c r="S38" s="17">
        <f>SUM(P37:P45)</f>
        <v>54000</v>
      </c>
      <c r="T38" s="21" t="s">
        <v>434</v>
      </c>
      <c r="U38" s="10"/>
      <c r="V38" s="10"/>
    </row>
    <row r="39" ht="16.5" spans="1:22">
      <c r="A39" s="10">
        <v>34</v>
      </c>
      <c r="B39" s="11">
        <v>2550</v>
      </c>
      <c r="C39" s="11">
        <f t="shared" si="6"/>
        <v>49270</v>
      </c>
      <c r="D39" s="12">
        <v>0.0585333333333333</v>
      </c>
      <c r="E39" s="10"/>
      <c r="F39" s="13"/>
      <c r="G39" s="11">
        <v>84</v>
      </c>
      <c r="H39" s="11">
        <v>9450</v>
      </c>
      <c r="I39" s="11">
        <f t="shared" si="7"/>
        <v>341470</v>
      </c>
      <c r="J39" s="12">
        <v>0.126016666666667</v>
      </c>
      <c r="K39" s="10"/>
      <c r="L39" s="13"/>
      <c r="M39" s="3"/>
      <c r="N39" s="16"/>
      <c r="O39" s="13">
        <v>4</v>
      </c>
      <c r="P39" s="11">
        <v>3600</v>
      </c>
      <c r="Q39" s="11">
        <v>559800</v>
      </c>
      <c r="R39" s="10"/>
      <c r="S39" s="18"/>
      <c r="T39" s="21" t="s">
        <v>435</v>
      </c>
      <c r="U39" s="10"/>
      <c r="V39" s="10"/>
    </row>
    <row r="40" ht="16.5" spans="1:22">
      <c r="A40" s="10">
        <v>35</v>
      </c>
      <c r="B40" s="11">
        <v>2640</v>
      </c>
      <c r="C40" s="11">
        <f t="shared" si="6"/>
        <v>51910</v>
      </c>
      <c r="D40" s="12">
        <v>0.0592833333333333</v>
      </c>
      <c r="E40" s="10"/>
      <c r="F40" s="13"/>
      <c r="G40" s="11">
        <v>85</v>
      </c>
      <c r="H40" s="11">
        <v>9600</v>
      </c>
      <c r="I40" s="11">
        <f t="shared" si="7"/>
        <v>351070</v>
      </c>
      <c r="J40" s="12">
        <v>0.126766666666667</v>
      </c>
      <c r="K40" s="10"/>
      <c r="L40" s="13"/>
      <c r="M40" s="3"/>
      <c r="N40" s="16"/>
      <c r="O40" s="13">
        <v>5</v>
      </c>
      <c r="P40" s="11">
        <v>4800</v>
      </c>
      <c r="Q40" s="11">
        <v>746400</v>
      </c>
      <c r="R40" s="15" t="s">
        <v>71</v>
      </c>
      <c r="S40" s="19"/>
      <c r="T40" s="21" t="s">
        <v>436</v>
      </c>
      <c r="U40" s="10"/>
      <c r="V40" s="10"/>
    </row>
    <row r="41" ht="16.5" spans="1:22">
      <c r="A41" s="10">
        <v>36</v>
      </c>
      <c r="B41" s="11">
        <v>2730</v>
      </c>
      <c r="C41" s="11">
        <f t="shared" si="6"/>
        <v>54640</v>
      </c>
      <c r="D41" s="12">
        <v>0.0600333333333334</v>
      </c>
      <c r="E41" s="10"/>
      <c r="F41" s="13"/>
      <c r="G41" s="11">
        <v>86</v>
      </c>
      <c r="H41" s="11">
        <v>9750</v>
      </c>
      <c r="I41" s="11">
        <f t="shared" si="7"/>
        <v>360820</v>
      </c>
      <c r="J41" s="12">
        <v>0.127516666666667</v>
      </c>
      <c r="K41" s="10"/>
      <c r="L41" s="13"/>
      <c r="M41" s="3"/>
      <c r="N41" s="16"/>
      <c r="O41" s="13">
        <v>6</v>
      </c>
      <c r="P41" s="11">
        <v>6000</v>
      </c>
      <c r="Q41" s="11">
        <v>933000</v>
      </c>
      <c r="R41" s="10"/>
      <c r="S41" s="10" t="s">
        <v>11</v>
      </c>
      <c r="T41" s="21" t="s">
        <v>437</v>
      </c>
      <c r="U41" s="10"/>
      <c r="V41" s="10"/>
    </row>
    <row r="42" ht="16.5" spans="1:22">
      <c r="A42" s="10">
        <v>37</v>
      </c>
      <c r="B42" s="11">
        <v>2820</v>
      </c>
      <c r="C42" s="11">
        <f t="shared" si="6"/>
        <v>57460</v>
      </c>
      <c r="D42" s="12">
        <v>0.0607833333333334</v>
      </c>
      <c r="E42" s="10"/>
      <c r="F42" s="13"/>
      <c r="G42" s="11">
        <v>87</v>
      </c>
      <c r="H42" s="11">
        <v>9900</v>
      </c>
      <c r="I42" s="11">
        <f t="shared" si="7"/>
        <v>370720</v>
      </c>
      <c r="J42" s="12">
        <v>0.128266666666667</v>
      </c>
      <c r="K42" s="10"/>
      <c r="L42" s="13"/>
      <c r="M42" s="3"/>
      <c r="N42" s="16"/>
      <c r="O42" s="13">
        <v>7</v>
      </c>
      <c r="P42" s="11">
        <v>7200</v>
      </c>
      <c r="Q42" s="11">
        <v>1119600</v>
      </c>
      <c r="R42" s="10"/>
      <c r="S42" s="10"/>
      <c r="T42" s="21" t="s">
        <v>438</v>
      </c>
      <c r="U42" s="10"/>
      <c r="V42" s="10"/>
    </row>
    <row r="43" ht="16.5" spans="1:22">
      <c r="A43" s="10">
        <v>38</v>
      </c>
      <c r="B43" s="11">
        <v>2910</v>
      </c>
      <c r="C43" s="11">
        <f t="shared" si="6"/>
        <v>60370</v>
      </c>
      <c r="D43" s="12">
        <v>0.0615333333333334</v>
      </c>
      <c r="E43" s="10"/>
      <c r="F43" s="13"/>
      <c r="G43" s="11">
        <v>88</v>
      </c>
      <c r="H43" s="11">
        <v>10050</v>
      </c>
      <c r="I43" s="11">
        <f t="shared" si="7"/>
        <v>380770</v>
      </c>
      <c r="J43" s="12">
        <v>0.129016666666667</v>
      </c>
      <c r="K43" s="10"/>
      <c r="L43" s="13"/>
      <c r="M43" s="3"/>
      <c r="N43" s="16"/>
      <c r="O43" s="13">
        <v>8</v>
      </c>
      <c r="P43" s="11">
        <v>8400</v>
      </c>
      <c r="Q43" s="11">
        <v>1306200</v>
      </c>
      <c r="R43" s="15" t="s">
        <v>75</v>
      </c>
      <c r="S43" s="17">
        <f>SUM(Q37:Q45)</f>
        <v>8397000</v>
      </c>
      <c r="T43" s="21" t="s">
        <v>439</v>
      </c>
      <c r="U43" s="10"/>
      <c r="V43" s="10"/>
    </row>
    <row r="44" ht="16.5" spans="1:22">
      <c r="A44" s="10">
        <v>39</v>
      </c>
      <c r="B44" s="11">
        <v>3000</v>
      </c>
      <c r="C44" s="11">
        <f t="shared" si="6"/>
        <v>63370</v>
      </c>
      <c r="D44" s="12">
        <v>0.0622833333333334</v>
      </c>
      <c r="E44" s="10"/>
      <c r="F44" s="13"/>
      <c r="G44" s="11">
        <v>89</v>
      </c>
      <c r="H44" s="11">
        <v>10200</v>
      </c>
      <c r="I44" s="11">
        <f t="shared" si="7"/>
        <v>390970</v>
      </c>
      <c r="J44" s="12">
        <v>0.129766666666667</v>
      </c>
      <c r="K44" s="10"/>
      <c r="L44" s="13"/>
      <c r="M44" s="3"/>
      <c r="N44" s="16"/>
      <c r="O44" s="13">
        <v>9</v>
      </c>
      <c r="P44" s="11">
        <v>9600</v>
      </c>
      <c r="Q44" s="11">
        <v>1492800</v>
      </c>
      <c r="R44" s="10"/>
      <c r="S44" s="18"/>
      <c r="T44" s="21" t="s">
        <v>440</v>
      </c>
      <c r="U44" s="10"/>
      <c r="V44" s="10"/>
    </row>
    <row r="45" ht="16.5" spans="1:22">
      <c r="A45" s="10">
        <v>40</v>
      </c>
      <c r="B45" s="11">
        <v>3120</v>
      </c>
      <c r="C45" s="11">
        <f t="shared" si="6"/>
        <v>66490</v>
      </c>
      <c r="D45" s="12">
        <v>0.063</v>
      </c>
      <c r="E45" s="10"/>
      <c r="F45" s="13"/>
      <c r="G45" s="11">
        <v>90</v>
      </c>
      <c r="H45" s="11">
        <v>10350</v>
      </c>
      <c r="I45" s="11">
        <f t="shared" si="7"/>
        <v>401320</v>
      </c>
      <c r="J45" s="12">
        <v>0.1305</v>
      </c>
      <c r="K45" s="10"/>
      <c r="L45" s="13"/>
      <c r="M45" s="3"/>
      <c r="N45" s="16"/>
      <c r="O45" s="13">
        <v>10</v>
      </c>
      <c r="P45" s="11">
        <v>10800</v>
      </c>
      <c r="Q45" s="11">
        <v>1679400</v>
      </c>
      <c r="R45" s="15" t="s">
        <v>78</v>
      </c>
      <c r="S45" s="19"/>
      <c r="T45" s="21" t="s">
        <v>441</v>
      </c>
      <c r="U45" s="10"/>
      <c r="V45" s="10"/>
    </row>
    <row r="46" ht="16.5" spans="1:22">
      <c r="A46" s="10" t="s">
        <v>31</v>
      </c>
      <c r="B46" s="11"/>
      <c r="C46" s="11"/>
      <c r="D46" s="12">
        <v>0.069</v>
      </c>
      <c r="E46" s="10">
        <v>32</v>
      </c>
      <c r="F46" s="13" t="s">
        <v>80</v>
      </c>
      <c r="G46" s="11" t="s">
        <v>31</v>
      </c>
      <c r="H46" s="11"/>
      <c r="I46" s="11"/>
      <c r="J46" s="12">
        <v>0.1365</v>
      </c>
      <c r="K46" s="10">
        <v>72</v>
      </c>
      <c r="L46" s="13" t="s">
        <v>81</v>
      </c>
      <c r="M46" s="3"/>
      <c r="N46" s="20" t="s">
        <v>8</v>
      </c>
      <c r="O46" s="20"/>
      <c r="P46" s="20" t="s">
        <v>2</v>
      </c>
      <c r="Q46" s="20" t="s">
        <v>7</v>
      </c>
      <c r="R46" s="20"/>
      <c r="S46" s="20" t="s">
        <v>82</v>
      </c>
      <c r="T46" s="20" t="s">
        <v>14</v>
      </c>
      <c r="U46" s="20"/>
      <c r="V46" s="20"/>
    </row>
    <row r="47" ht="16.5" spans="1:22">
      <c r="A47" s="10">
        <v>41</v>
      </c>
      <c r="B47" s="11">
        <v>3240</v>
      </c>
      <c r="C47" s="11">
        <f>B47+C45</f>
        <v>69730</v>
      </c>
      <c r="D47" s="12">
        <v>0.0698</v>
      </c>
      <c r="E47" s="10"/>
      <c r="F47" s="13"/>
      <c r="G47" s="11">
        <v>91</v>
      </c>
      <c r="H47" s="11">
        <v>10500</v>
      </c>
      <c r="I47" s="11">
        <f>H47+I45</f>
        <v>411820</v>
      </c>
      <c r="J47" s="12">
        <v>0.1373</v>
      </c>
      <c r="K47" s="10"/>
      <c r="L47" s="13"/>
      <c r="M47" s="3"/>
      <c r="N47" s="14" t="s">
        <v>300</v>
      </c>
      <c r="O47" s="16"/>
      <c r="P47" s="13">
        <v>1</v>
      </c>
      <c r="Q47" s="10" t="s">
        <v>15</v>
      </c>
      <c r="R47" s="10"/>
      <c r="S47" s="10">
        <v>1</v>
      </c>
      <c r="T47" s="21" t="s">
        <v>442</v>
      </c>
      <c r="U47" s="10"/>
      <c r="V47" s="10"/>
    </row>
    <row r="48" ht="16.5" spans="1:22">
      <c r="A48" s="10">
        <v>42</v>
      </c>
      <c r="B48" s="11">
        <v>3380</v>
      </c>
      <c r="C48" s="11">
        <f t="shared" ref="C48:C56" si="8">B48+C47</f>
        <v>73110</v>
      </c>
      <c r="D48" s="12">
        <v>0.0705</v>
      </c>
      <c r="E48" s="10"/>
      <c r="F48" s="13"/>
      <c r="G48" s="11">
        <v>92</v>
      </c>
      <c r="H48" s="11">
        <v>10650</v>
      </c>
      <c r="I48" s="11">
        <f t="shared" ref="I48:I56" si="9">H48+I47</f>
        <v>422470</v>
      </c>
      <c r="J48" s="12">
        <v>0.138</v>
      </c>
      <c r="K48" s="10"/>
      <c r="L48" s="13"/>
      <c r="M48" s="3"/>
      <c r="N48" s="16"/>
      <c r="O48" s="16"/>
      <c r="P48" s="13">
        <v>10</v>
      </c>
      <c r="Q48" s="10" t="s">
        <v>32</v>
      </c>
      <c r="R48" s="10"/>
      <c r="S48" s="10">
        <v>2</v>
      </c>
      <c r="T48" s="21" t="s">
        <v>443</v>
      </c>
      <c r="U48" s="10"/>
      <c r="V48" s="10"/>
    </row>
    <row r="49" ht="16.5" spans="1:22">
      <c r="A49" s="10">
        <v>43</v>
      </c>
      <c r="B49" s="11">
        <v>3460</v>
      </c>
      <c r="C49" s="11">
        <f t="shared" si="8"/>
        <v>76570</v>
      </c>
      <c r="D49" s="12">
        <v>0.0713</v>
      </c>
      <c r="E49" s="10"/>
      <c r="F49" s="13"/>
      <c r="G49" s="11">
        <v>93</v>
      </c>
      <c r="H49" s="11">
        <v>10800</v>
      </c>
      <c r="I49" s="11">
        <f t="shared" si="9"/>
        <v>433270</v>
      </c>
      <c r="J49" s="12">
        <v>0.1388</v>
      </c>
      <c r="K49" s="10"/>
      <c r="L49" s="13"/>
      <c r="M49" s="3"/>
      <c r="N49" s="16"/>
      <c r="O49" s="16"/>
      <c r="P49" s="13">
        <v>20</v>
      </c>
      <c r="Q49" s="10" t="s">
        <v>48</v>
      </c>
      <c r="R49" s="10"/>
      <c r="S49" s="10">
        <v>3</v>
      </c>
      <c r="T49" s="21" t="s">
        <v>444</v>
      </c>
      <c r="U49" s="10"/>
      <c r="V49" s="10"/>
    </row>
    <row r="50" ht="16.5" spans="1:22">
      <c r="A50" s="10">
        <v>44</v>
      </c>
      <c r="B50" s="11">
        <v>3600</v>
      </c>
      <c r="C50" s="11">
        <f t="shared" si="8"/>
        <v>80170</v>
      </c>
      <c r="D50" s="12">
        <v>0.0720333333333333</v>
      </c>
      <c r="E50" s="10"/>
      <c r="F50" s="13"/>
      <c r="G50" s="11">
        <v>94</v>
      </c>
      <c r="H50" s="11">
        <v>10950</v>
      </c>
      <c r="I50" s="11">
        <f t="shared" si="9"/>
        <v>444220</v>
      </c>
      <c r="J50" s="12">
        <v>0.139533333333333</v>
      </c>
      <c r="K50" s="10"/>
      <c r="L50" s="13"/>
      <c r="M50" s="3"/>
      <c r="N50" s="16"/>
      <c r="O50" s="16"/>
      <c r="P50" s="13">
        <v>30</v>
      </c>
      <c r="Q50" s="10" t="s">
        <v>64</v>
      </c>
      <c r="R50" s="10"/>
      <c r="S50" s="10">
        <v>4</v>
      </c>
      <c r="T50" s="21" t="s">
        <v>445</v>
      </c>
      <c r="U50" s="10"/>
      <c r="V50" s="10"/>
    </row>
    <row r="51" ht="16.5" spans="1:22">
      <c r="A51" s="10">
        <v>45</v>
      </c>
      <c r="B51" s="11">
        <v>3720</v>
      </c>
      <c r="C51" s="11">
        <f t="shared" si="8"/>
        <v>83890</v>
      </c>
      <c r="D51" s="12">
        <v>0.0727833333333333</v>
      </c>
      <c r="E51" s="10"/>
      <c r="F51" s="13"/>
      <c r="G51" s="11">
        <v>95</v>
      </c>
      <c r="H51" s="11">
        <v>11100</v>
      </c>
      <c r="I51" s="11">
        <f t="shared" si="9"/>
        <v>455320</v>
      </c>
      <c r="J51" s="12">
        <v>0.140283333333333</v>
      </c>
      <c r="K51" s="10"/>
      <c r="L51" s="13"/>
      <c r="M51" s="3"/>
      <c r="N51" s="16"/>
      <c r="O51" s="16"/>
      <c r="P51" s="13">
        <v>40</v>
      </c>
      <c r="Q51" s="10" t="s">
        <v>80</v>
      </c>
      <c r="R51" s="10"/>
      <c r="S51" s="10">
        <v>5</v>
      </c>
      <c r="T51" s="21" t="s">
        <v>446</v>
      </c>
      <c r="U51" s="10"/>
      <c r="V51" s="10"/>
    </row>
    <row r="52" ht="16.5" spans="1:22">
      <c r="A52" s="10">
        <v>46</v>
      </c>
      <c r="B52" s="11">
        <v>3840</v>
      </c>
      <c r="C52" s="11">
        <f t="shared" si="8"/>
        <v>87730</v>
      </c>
      <c r="D52" s="12">
        <v>0.0735333333333333</v>
      </c>
      <c r="E52" s="10"/>
      <c r="F52" s="13"/>
      <c r="G52" s="11">
        <v>96</v>
      </c>
      <c r="H52" s="11">
        <v>11250</v>
      </c>
      <c r="I52" s="11">
        <f t="shared" si="9"/>
        <v>466570</v>
      </c>
      <c r="J52" s="12">
        <v>0.141033333333333</v>
      </c>
      <c r="K52" s="10"/>
      <c r="L52" s="13"/>
      <c r="M52" s="3"/>
      <c r="N52" s="16"/>
      <c r="O52" s="16"/>
      <c r="P52" s="13">
        <v>50</v>
      </c>
      <c r="Q52" s="10" t="s">
        <v>16</v>
      </c>
      <c r="R52" s="10"/>
      <c r="S52" s="10">
        <v>6</v>
      </c>
      <c r="T52" s="21" t="s">
        <v>447</v>
      </c>
      <c r="U52" s="10"/>
      <c r="V52" s="10"/>
    </row>
    <row r="53" ht="16.5" spans="1:22">
      <c r="A53" s="10">
        <v>47</v>
      </c>
      <c r="B53" s="11">
        <v>3960</v>
      </c>
      <c r="C53" s="11">
        <f t="shared" si="8"/>
        <v>91690</v>
      </c>
      <c r="D53" s="12">
        <v>0.0742833333333333</v>
      </c>
      <c r="E53" s="10"/>
      <c r="F53" s="13"/>
      <c r="G53" s="11">
        <v>97</v>
      </c>
      <c r="H53" s="11">
        <v>11400</v>
      </c>
      <c r="I53" s="11">
        <f t="shared" si="9"/>
        <v>477970</v>
      </c>
      <c r="J53" s="12">
        <v>0.141783333333333</v>
      </c>
      <c r="K53" s="10"/>
      <c r="L53" s="13"/>
      <c r="M53" s="3"/>
      <c r="N53" s="16"/>
      <c r="O53" s="16"/>
      <c r="P53" s="13">
        <v>60</v>
      </c>
      <c r="Q53" s="10" t="s">
        <v>33</v>
      </c>
      <c r="R53" s="10"/>
      <c r="S53" s="10">
        <v>7</v>
      </c>
      <c r="T53" s="21" t="s">
        <v>448</v>
      </c>
      <c r="U53" s="10"/>
      <c r="V53" s="10"/>
    </row>
    <row r="54" ht="16.5" spans="1:22">
      <c r="A54" s="10">
        <v>48</v>
      </c>
      <c r="B54" s="11">
        <v>4080</v>
      </c>
      <c r="C54" s="11">
        <f t="shared" si="8"/>
        <v>95770</v>
      </c>
      <c r="D54" s="12">
        <v>0.0750333333333333</v>
      </c>
      <c r="E54" s="10"/>
      <c r="F54" s="13"/>
      <c r="G54" s="11">
        <v>98</v>
      </c>
      <c r="H54" s="11">
        <v>11550</v>
      </c>
      <c r="I54" s="11">
        <f t="shared" si="9"/>
        <v>489520</v>
      </c>
      <c r="J54" s="12">
        <v>0.142533333333333</v>
      </c>
      <c r="K54" s="10"/>
      <c r="L54" s="13"/>
      <c r="M54" s="3"/>
      <c r="N54" s="16"/>
      <c r="O54" s="16"/>
      <c r="P54" s="13">
        <v>70</v>
      </c>
      <c r="Q54" s="10" t="s">
        <v>49</v>
      </c>
      <c r="R54" s="10"/>
      <c r="S54" s="10">
        <v>8</v>
      </c>
      <c r="T54" s="21" t="s">
        <v>449</v>
      </c>
      <c r="U54" s="10"/>
      <c r="V54" s="10"/>
    </row>
    <row r="55" ht="16.5" spans="1:22">
      <c r="A55" s="10">
        <v>49</v>
      </c>
      <c r="B55" s="11">
        <v>4200</v>
      </c>
      <c r="C55" s="11">
        <f t="shared" si="8"/>
        <v>99970</v>
      </c>
      <c r="D55" s="12">
        <v>0.0757833333333333</v>
      </c>
      <c r="E55" s="10"/>
      <c r="F55" s="13"/>
      <c r="G55" s="11">
        <v>99</v>
      </c>
      <c r="H55" s="11">
        <v>11700</v>
      </c>
      <c r="I55" s="11">
        <f t="shared" si="9"/>
        <v>501220</v>
      </c>
      <c r="J55" s="12">
        <v>0.143283333333333</v>
      </c>
      <c r="K55" s="10"/>
      <c r="L55" s="13"/>
      <c r="M55" s="3"/>
      <c r="N55" s="16"/>
      <c r="O55" s="16"/>
      <c r="P55" s="13">
        <v>80</v>
      </c>
      <c r="Q55" s="10" t="s">
        <v>65</v>
      </c>
      <c r="R55" s="10"/>
      <c r="S55" s="10">
        <v>9</v>
      </c>
      <c r="T55" s="21" t="s">
        <v>450</v>
      </c>
      <c r="U55" s="10"/>
      <c r="V55" s="10"/>
    </row>
    <row r="56" ht="16.5" spans="1:22">
      <c r="A56" s="10">
        <v>50</v>
      </c>
      <c r="B56" s="11">
        <v>4350</v>
      </c>
      <c r="C56" s="11">
        <f t="shared" si="8"/>
        <v>104320</v>
      </c>
      <c r="D56" s="12">
        <v>0.0765</v>
      </c>
      <c r="E56" s="10"/>
      <c r="F56" s="13"/>
      <c r="G56" s="11">
        <v>100</v>
      </c>
      <c r="H56" s="11">
        <v>11850</v>
      </c>
      <c r="I56" s="11">
        <f t="shared" si="9"/>
        <v>513070</v>
      </c>
      <c r="J56" s="12">
        <v>0.144</v>
      </c>
      <c r="K56" s="10"/>
      <c r="L56" s="13"/>
      <c r="M56" s="3"/>
      <c r="N56" s="16"/>
      <c r="O56" s="16"/>
      <c r="P56" s="13">
        <v>90</v>
      </c>
      <c r="Q56" s="10" t="s">
        <v>81</v>
      </c>
      <c r="R56" s="10"/>
      <c r="S56" s="10">
        <v>10</v>
      </c>
      <c r="T56" s="21" t="s">
        <v>451</v>
      </c>
      <c r="U56" s="10"/>
      <c r="V56" s="10"/>
    </row>
    <row r="57" ht="16.5" spans="1:22">
      <c r="A57" s="10" t="s">
        <v>31</v>
      </c>
      <c r="B57" s="10"/>
      <c r="C57" s="10"/>
      <c r="D57" s="10">
        <v>0.0825</v>
      </c>
      <c r="E57" s="10">
        <v>40</v>
      </c>
      <c r="F57" s="13" t="s">
        <v>16</v>
      </c>
      <c r="G57" s="10" t="s">
        <v>31</v>
      </c>
      <c r="H57" s="10"/>
      <c r="I57" s="10"/>
      <c r="J57" s="12">
        <v>0.15</v>
      </c>
      <c r="K57" s="10">
        <v>80</v>
      </c>
      <c r="L57" s="13" t="s">
        <v>94</v>
      </c>
      <c r="M57" s="3"/>
      <c r="N57" s="16"/>
      <c r="O57" s="16"/>
      <c r="P57" s="13">
        <v>100</v>
      </c>
      <c r="Q57" s="10" t="s">
        <v>94</v>
      </c>
      <c r="R57" s="10"/>
      <c r="S57" s="10">
        <v>11</v>
      </c>
      <c r="T57" s="21" t="s">
        <v>452</v>
      </c>
      <c r="U57" s="10"/>
      <c r="V57" s="10"/>
    </row>
    <row r="58" ht="19" spans="1:22">
      <c r="A58" s="22" t="s">
        <v>96</v>
      </c>
      <c r="B58" s="22"/>
      <c r="C58" s="23"/>
      <c r="D58" s="23"/>
      <c r="E58" s="22" t="s">
        <v>97</v>
      </c>
      <c r="F58" s="22">
        <f>I56</f>
        <v>513070</v>
      </c>
      <c r="G58" s="23"/>
      <c r="H58" s="23"/>
      <c r="I58" s="22" t="s">
        <v>6</v>
      </c>
      <c r="J58" s="22">
        <f>E13+E24+E35+E46+E57+K13+K24+K35+K46+K57</f>
        <v>440</v>
      </c>
      <c r="K58" s="23"/>
      <c r="L58" s="23"/>
      <c r="M58" s="24"/>
      <c r="N58" s="22" t="s">
        <v>96</v>
      </c>
      <c r="O58" s="22"/>
      <c r="P58" s="25" t="s">
        <v>10</v>
      </c>
      <c r="Q58" s="26"/>
      <c r="R58" s="22">
        <f>S5+S16+S27+S38</f>
        <v>108000</v>
      </c>
      <c r="S58" s="25" t="s">
        <v>11</v>
      </c>
      <c r="T58" s="26"/>
      <c r="U58" s="22">
        <f>S10+S21+S32+S43</f>
        <v>14922600</v>
      </c>
      <c r="V58" s="24"/>
    </row>
    <row r="59" ht="19" spans="1:22">
      <c r="A59" s="22"/>
      <c r="B59" s="22"/>
      <c r="C59" s="23"/>
      <c r="D59" s="23"/>
      <c r="E59" s="22"/>
      <c r="F59" s="22"/>
      <c r="G59" s="23"/>
      <c r="H59" s="23"/>
      <c r="I59" s="22"/>
      <c r="J59" s="22"/>
      <c r="K59" s="23"/>
      <c r="L59" s="23"/>
      <c r="M59" s="24"/>
      <c r="N59" s="22"/>
      <c r="O59" s="22"/>
      <c r="P59" s="27"/>
      <c r="Q59" s="28"/>
      <c r="R59" s="22"/>
      <c r="S59" s="27"/>
      <c r="T59" s="28"/>
      <c r="U59" s="22"/>
      <c r="V59" s="24"/>
    </row>
  </sheetData>
  <mergeCells count="128">
    <mergeCell ref="A1:B1"/>
    <mergeCell ref="C1:L1"/>
    <mergeCell ref="N1:O1"/>
    <mergeCell ref="P1:V1"/>
    <mergeCell ref="T2:V2"/>
    <mergeCell ref="T3:V3"/>
    <mergeCell ref="T4:V4"/>
    <mergeCell ref="T5:V5"/>
    <mergeCell ref="T6:V6"/>
    <mergeCell ref="T7:V7"/>
    <mergeCell ref="T8:V8"/>
    <mergeCell ref="T9:V9"/>
    <mergeCell ref="T10:V10"/>
    <mergeCell ref="T11:V11"/>
    <mergeCell ref="T12:V12"/>
    <mergeCell ref="T13:V13"/>
    <mergeCell ref="T14:V14"/>
    <mergeCell ref="T15:V15"/>
    <mergeCell ref="T16:V16"/>
    <mergeCell ref="T17:V17"/>
    <mergeCell ref="T18:V18"/>
    <mergeCell ref="T19:V19"/>
    <mergeCell ref="T20:V20"/>
    <mergeCell ref="T21:V21"/>
    <mergeCell ref="T22:V22"/>
    <mergeCell ref="T23:V23"/>
    <mergeCell ref="T24:V24"/>
    <mergeCell ref="T25:V25"/>
    <mergeCell ref="T26:V26"/>
    <mergeCell ref="T27:V27"/>
    <mergeCell ref="T28:V28"/>
    <mergeCell ref="T29:V29"/>
    <mergeCell ref="T30:V30"/>
    <mergeCell ref="T31:V31"/>
    <mergeCell ref="T32:V32"/>
    <mergeCell ref="T33:V33"/>
    <mergeCell ref="T34:V34"/>
    <mergeCell ref="T35:V35"/>
    <mergeCell ref="T36:V36"/>
    <mergeCell ref="T37:V37"/>
    <mergeCell ref="T38:V38"/>
    <mergeCell ref="T39:V39"/>
    <mergeCell ref="T40:V40"/>
    <mergeCell ref="T41:V41"/>
    <mergeCell ref="T42:V42"/>
    <mergeCell ref="T43:V43"/>
    <mergeCell ref="T44:V44"/>
    <mergeCell ref="T45:V45"/>
    <mergeCell ref="N46:O46"/>
    <mergeCell ref="Q46:R46"/>
    <mergeCell ref="T46:V46"/>
    <mergeCell ref="Q47:R47"/>
    <mergeCell ref="T47:V47"/>
    <mergeCell ref="Q48:R48"/>
    <mergeCell ref="T48:V48"/>
    <mergeCell ref="Q49:R49"/>
    <mergeCell ref="T49:V49"/>
    <mergeCell ref="Q50:R50"/>
    <mergeCell ref="T50:V50"/>
    <mergeCell ref="Q51:R51"/>
    <mergeCell ref="T51:V51"/>
    <mergeCell ref="Q52:R52"/>
    <mergeCell ref="T52:V52"/>
    <mergeCell ref="Q53:R53"/>
    <mergeCell ref="T53:V53"/>
    <mergeCell ref="Q54:R54"/>
    <mergeCell ref="T54:V54"/>
    <mergeCell ref="Q55:R55"/>
    <mergeCell ref="T55:V55"/>
    <mergeCell ref="Q56:R56"/>
    <mergeCell ref="T56:V56"/>
    <mergeCell ref="Q57:R57"/>
    <mergeCell ref="T57:V57"/>
    <mergeCell ref="E3:E12"/>
    <mergeCell ref="E14:E23"/>
    <mergeCell ref="E25:E34"/>
    <mergeCell ref="E36:E45"/>
    <mergeCell ref="E47:E56"/>
    <mergeCell ref="E58:E59"/>
    <mergeCell ref="F3:F12"/>
    <mergeCell ref="F13:F23"/>
    <mergeCell ref="F24:F34"/>
    <mergeCell ref="F35:F45"/>
    <mergeCell ref="F46:F56"/>
    <mergeCell ref="F58:F59"/>
    <mergeCell ref="I58:I59"/>
    <mergeCell ref="J58:J59"/>
    <mergeCell ref="K3:K12"/>
    <mergeCell ref="K14:K23"/>
    <mergeCell ref="K25:K34"/>
    <mergeCell ref="K36:K45"/>
    <mergeCell ref="K47:K56"/>
    <mergeCell ref="L3:L12"/>
    <mergeCell ref="L13:L23"/>
    <mergeCell ref="L24:L34"/>
    <mergeCell ref="L35:L45"/>
    <mergeCell ref="L46:L56"/>
    <mergeCell ref="N3:N12"/>
    <mergeCell ref="N14:N23"/>
    <mergeCell ref="N25:N34"/>
    <mergeCell ref="N36:N45"/>
    <mergeCell ref="R58:R59"/>
    <mergeCell ref="S3:S4"/>
    <mergeCell ref="S5:S7"/>
    <mergeCell ref="S8:S9"/>
    <mergeCell ref="S10:S12"/>
    <mergeCell ref="S14:S15"/>
    <mergeCell ref="S16:S18"/>
    <mergeCell ref="S19:S20"/>
    <mergeCell ref="S21:S23"/>
    <mergeCell ref="S25:S26"/>
    <mergeCell ref="S27:S29"/>
    <mergeCell ref="S30:S31"/>
    <mergeCell ref="S32:S34"/>
    <mergeCell ref="S36:S37"/>
    <mergeCell ref="S38:S40"/>
    <mergeCell ref="S41:S42"/>
    <mergeCell ref="S43:S45"/>
    <mergeCell ref="U58:U59"/>
    <mergeCell ref="V58:V59"/>
    <mergeCell ref="N47:O57"/>
    <mergeCell ref="A58:B59"/>
    <mergeCell ref="C58:D59"/>
    <mergeCell ref="G58:H59"/>
    <mergeCell ref="K58:L59"/>
    <mergeCell ref="S58:T59"/>
    <mergeCell ref="N58:O59"/>
    <mergeCell ref="P58:Q5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巴尔德</vt:lpstr>
      <vt:lpstr>法比安</vt:lpstr>
      <vt:lpstr>西里尔</vt:lpstr>
      <vt:lpstr>艾     格     尼     丝</vt:lpstr>
      <vt:lpstr>霍     尔      格</vt:lpstr>
      <vt:lpstr>罗     慕    路     斯</vt:lpstr>
      <vt:lpstr>瓦     莱    莉     亚</vt:lpstr>
      <vt:lpstr>罗       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34502</dc:creator>
  <cp:lastModifiedBy>Ming</cp:lastModifiedBy>
  <dcterms:created xsi:type="dcterms:W3CDTF">2026-06-13T00:51:55Z</dcterms:created>
  <dcterms:modified xsi:type="dcterms:W3CDTF">2026-06-13T00:56:45Z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6B7D3317E0844337AEB82CE4A1F0305C_11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